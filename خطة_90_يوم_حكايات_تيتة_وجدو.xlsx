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lan with Time AR" sheetId="1" state="visible" r:id="rId1"/>
    <sheet xmlns:r="http://schemas.openxmlformats.org/officeDocument/2006/relationships" name="Plan with Time EN" sheetId="2" state="visible" r:id="rId2"/>
  </sheets>
  <definedNames>
    <definedName name="_xlnm.Print_Area" localSheetId="0">'Plan with Time AR'!$A$1:$F$104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B0000]d\ mmmm\ yyyy;@"/>
    <numFmt numFmtId="165" formatCode="[$-409]d\-mmm;@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0"/>
      <sz val="14"/>
      <scheme val="minor"/>
    </font>
  </fonts>
  <fills count="13">
    <fill>
      <patternFill/>
    </fill>
    <fill>
      <patternFill patternType="gray125"/>
    </fill>
    <fill>
      <patternFill patternType="solid">
        <fgColor theme="1"/>
        <bgColor theme="8" tint="0.5999938962981048"/>
      </patternFill>
    </fill>
    <fill>
      <patternFill patternType="solid">
        <fgColor theme="1"/>
        <bgColor theme="8" tint="0.799981688894314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"/>
        <bgColor theme="8" tint="0.5999938962981048"/>
      </patternFill>
    </fill>
    <fill>
      <patternFill patternType="solid">
        <fgColor theme="3" tint="0.7999816888943144"/>
        <bgColor theme="8" tint="0.7999816888943144"/>
      </patternFill>
    </fill>
    <fill>
      <patternFill patternType="solid">
        <fgColor theme="3" tint="0.5999938962981048"/>
        <bgColor theme="8" tint="0.7999816888943144"/>
      </patternFill>
    </fill>
    <fill>
      <patternFill patternType="solid">
        <fgColor theme="3" tint="0.5999938962981048"/>
        <bgColor theme="8" tint="0.5999938962981048"/>
      </patternFill>
    </fill>
    <fill>
      <patternFill patternType="solid">
        <fgColor theme="3" tint="0.3999755851924192"/>
        <bgColor theme="8" tint="0.5999938962981048"/>
      </patternFill>
    </fill>
    <fill>
      <patternFill patternType="solid">
        <fgColor theme="3" tint="0.3999755851924192"/>
        <bgColor theme="8" tint="0.7999816888943144"/>
      </patternFill>
    </fill>
    <fill>
      <patternFill patternType="solid">
        <fgColor theme="3" tint="0.3999755851924192"/>
        <bgColor theme="8"/>
      </patternFill>
    </fill>
    <fill>
      <patternFill patternType="solid">
        <fgColor theme="0"/>
        <bgColor theme="8"/>
      </patternFill>
    </fill>
  </fills>
  <borders count="59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7" tint="0.3999755851924192"/>
      </bottom>
      <diagonal/>
    </border>
    <border>
      <left/>
      <right/>
      <top/>
      <bottom style="thick">
        <color theme="7" tint="0.3999450666829432"/>
      </bottom>
      <diagonal/>
    </border>
    <border>
      <left/>
      <right/>
      <top style="thick">
        <color theme="7" tint="0.3999450666829432"/>
      </top>
      <bottom/>
      <diagonal/>
    </border>
    <border>
      <left/>
      <right/>
      <top style="thick">
        <color theme="7" tint="0.3999450666829432"/>
      </top>
      <bottom style="thin">
        <color theme="0"/>
      </bottom>
      <diagonal/>
    </border>
    <border>
      <left style="thin">
        <color theme="0"/>
      </left>
      <right/>
      <top/>
      <bottom style="thick">
        <color theme="7" tint="0.3999450666829432"/>
      </bottom>
      <diagonal/>
    </border>
    <border>
      <left style="thin">
        <color theme="0"/>
      </left>
      <right/>
      <top style="thick">
        <color theme="7" tint="0.3999450666829432"/>
      </top>
      <bottom style="thin">
        <color theme="0"/>
      </bottom>
      <diagonal/>
    </border>
    <border>
      <left/>
      <right/>
      <top style="thin">
        <color theme="0"/>
      </top>
      <bottom style="thick">
        <color theme="7" tint="0.3999450666829432"/>
      </bottom>
      <diagonal/>
    </border>
    <border>
      <left style="thin">
        <color theme="0"/>
      </left>
      <right/>
      <top style="thin">
        <color theme="0"/>
      </top>
      <bottom style="thick">
        <color theme="7" tint="0.3999450666829432"/>
      </bottom>
      <diagonal/>
    </border>
    <border>
      <left style="thick">
        <color theme="7" tint="0.3999450666829432"/>
      </left>
      <right/>
      <top/>
      <bottom/>
      <diagonal/>
    </border>
    <border>
      <left/>
      <right style="thick">
        <color theme="7" tint="0.3999450666829432"/>
      </right>
      <top/>
      <bottom/>
      <diagonal/>
    </border>
    <border>
      <left/>
      <right/>
      <top/>
      <bottom style="thick">
        <color theme="7" tint="0.399975585192419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7" tint="0.399945066682943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ck">
        <color theme="7" tint="0.3999755851924192"/>
      </bottom>
      <diagonal/>
    </border>
    <border>
      <left style="thick">
        <color theme="7" tint="0.3999450666829432"/>
      </left>
      <right style="thin">
        <color theme="0"/>
      </right>
      <top style="thin">
        <color theme="0"/>
      </top>
      <bottom style="thick">
        <color theme="7" tint="0.399975585192419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7" tint="0.3999755851924192"/>
      </bottom>
      <diagonal/>
    </border>
    <border>
      <left style="thin">
        <color theme="0"/>
      </left>
      <right style="thick">
        <color theme="7" tint="0.3999450666829432"/>
      </right>
      <top style="thin">
        <color theme="0"/>
      </top>
      <bottom style="thick">
        <color theme="7" tint="0.399975585192419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3999755851924192"/>
      </right>
      <top style="thin">
        <color theme="0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0"/>
      </left>
      <right/>
      <top style="thin">
        <color theme="4" tint="0.3999755851924192"/>
      </top>
      <bottom/>
      <diagonal/>
    </border>
    <border>
      <left style="thin">
        <color theme="0"/>
      </left>
      <right/>
      <top style="thick">
        <color theme="7" tint="0.3999755851924192"/>
      </top>
      <bottom/>
      <diagonal/>
    </border>
    <border>
      <left style="thin">
        <color theme="4" tint="0.3999755851924192"/>
      </left>
      <right/>
      <top style="thick">
        <color theme="7" tint="0.3999450666829432"/>
      </top>
      <bottom/>
      <diagonal/>
    </border>
    <border>
      <left/>
      <right style="thin">
        <color theme="4" tint="0.3999755851924192"/>
      </right>
      <top style="thick">
        <color theme="7" tint="0.3999450666829432"/>
      </top>
      <bottom/>
      <diagonal/>
    </border>
    <border>
      <left style="thin">
        <color theme="0"/>
      </left>
      <right/>
      <top style="thick">
        <color theme="7" tint="0.3999450666829432"/>
      </top>
      <bottom/>
      <diagonal/>
    </border>
    <border>
      <left style="thick">
        <color theme="7" tint="0.3999450666829432"/>
      </left>
      <right/>
      <top style="thin">
        <color theme="0"/>
      </top>
      <bottom style="medium">
        <color theme="7" tint="0.3999755851924192"/>
      </bottom>
      <diagonal/>
    </border>
    <border>
      <left/>
      <right style="thin">
        <color theme="0"/>
      </right>
      <top style="thin">
        <color theme="0"/>
      </top>
      <bottom style="medium">
        <color theme="7" tint="0.3999755851924192"/>
      </bottom>
      <diagonal/>
    </border>
    <border>
      <left/>
      <right style="thin">
        <color theme="4" tint="0.3999755851924192"/>
      </right>
      <top style="thick">
        <color theme="7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7" tint="0.3999450666829432"/>
      </right>
      <top style="thick">
        <color theme="7" tint="0.3999450666829432"/>
      </top>
      <bottom style="thin">
        <color theme="0"/>
      </bottom>
      <diagonal/>
    </border>
    <border>
      <left style="thin">
        <color theme="0"/>
      </left>
      <right style="thick">
        <color theme="7" tint="0.399945066682943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7" tint="0.3999450666829432"/>
      </bottom>
      <diagonal/>
    </border>
    <border>
      <left/>
      <right style="thin">
        <color theme="0"/>
      </right>
      <top style="thin">
        <color theme="0"/>
      </top>
      <bottom style="thick">
        <color theme="7" tint="0.3999755851924192"/>
      </bottom>
      <diagonal/>
    </border>
    <border>
      <left style="thin">
        <color theme="0"/>
      </left>
      <right style="thin">
        <color theme="0"/>
      </right>
      <top style="thick">
        <color theme="7" tint="0.3999450666829432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7" tint="0.3999755851924192"/>
      </right>
      <top style="thick">
        <color theme="7" tint="0.3999755851924192"/>
      </top>
      <bottom/>
      <diagonal/>
    </border>
    <border>
      <left style="thin">
        <color theme="0"/>
      </left>
      <right style="thick">
        <color theme="7" tint="0.3999755851924192"/>
      </right>
      <top style="thin">
        <color theme="0"/>
      </top>
      <bottom/>
      <diagonal/>
    </border>
    <border>
      <left style="thin">
        <color theme="0"/>
      </left>
      <right style="thick">
        <color theme="7" tint="0.3999755851924192"/>
      </right>
      <top style="thin">
        <color theme="0"/>
      </top>
      <bottom style="thick">
        <color theme="7" tint="0.3999755851924192"/>
      </bottom>
      <diagonal/>
    </border>
    <border>
      <left style="thin">
        <color theme="0"/>
      </left>
      <right style="thick">
        <color theme="7" tint="0.3999755851924192"/>
      </right>
      <top style="thin">
        <color theme="0"/>
      </top>
      <bottom style="thin">
        <color theme="0"/>
      </bottom>
      <diagonal/>
    </border>
    <border>
      <left style="thin">
        <color theme="4" tint="0.3999755851924192"/>
      </left>
      <right style="thin">
        <color theme="4" tint="0.3999755851924192"/>
      </right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0" fillId="0" borderId="0" applyAlignment="1" pivotButton="0" quotePrefix="0" xfId="0">
      <alignment horizontal="right" vertical="center" indent="1"/>
    </xf>
    <xf numFmtId="0" fontId="1" fillId="0" borderId="0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right" vertical="center" indent="1"/>
    </xf>
    <xf numFmtId="0" fontId="1" fillId="2" borderId="7" applyAlignment="1" pivotButton="0" quotePrefix="0" xfId="0">
      <alignment horizontal="right" vertical="center" indent="1"/>
    </xf>
    <xf numFmtId="0" fontId="1" fillId="2" borderId="8" applyAlignment="1" pivotButton="0" quotePrefix="0" xfId="0">
      <alignment horizontal="right" vertical="center" indent="1"/>
    </xf>
    <xf numFmtId="0" fontId="0" fillId="2" borderId="9" applyAlignment="1" pivotButton="0" quotePrefix="0" xfId="0">
      <alignment horizontal="right" vertical="center" indent="1"/>
    </xf>
    <xf numFmtId="0" fontId="0" fillId="2" borderId="10" applyAlignment="1" pivotButton="0" quotePrefix="0" xfId="0">
      <alignment horizontal="right" vertical="center" indent="1"/>
    </xf>
    <xf numFmtId="0" fontId="2" fillId="2" borderId="11" applyAlignment="1" pivotButton="0" quotePrefix="0" xfId="0">
      <alignment horizontal="right" vertical="center"/>
    </xf>
    <xf numFmtId="0" fontId="2" fillId="2" borderId="8" applyAlignment="1" pivotButton="0" quotePrefix="0" xfId="0">
      <alignment horizontal="right" vertical="center"/>
    </xf>
    <xf numFmtId="0" fontId="0" fillId="3" borderId="10" applyAlignment="1" pivotButton="0" quotePrefix="0" xfId="0">
      <alignment horizontal="right" vertical="center" indent="1"/>
    </xf>
    <xf numFmtId="0" fontId="0" fillId="3" borderId="12" applyAlignment="1" pivotButton="0" quotePrefix="0" xfId="0">
      <alignment horizontal="right" vertical="center" indent="1"/>
    </xf>
    <xf numFmtId="0" fontId="0" fillId="2" borderId="13" applyAlignment="1" pivotButton="0" quotePrefix="0" xfId="0">
      <alignment horizontal="right" vertical="center" indent="1"/>
    </xf>
    <xf numFmtId="0" fontId="0" fillId="2" borderId="14" applyAlignment="1" pivotButton="0" quotePrefix="0" xfId="0">
      <alignment horizontal="right" vertical="center" indent="1"/>
    </xf>
    <xf numFmtId="0" fontId="3" fillId="4" borderId="15" applyAlignment="1" pivotButton="0" quotePrefix="0" xfId="0">
      <alignment horizontal="right" vertical="center" indent="1"/>
    </xf>
    <xf numFmtId="0" fontId="3" fillId="4" borderId="16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right" vertical="center" indent="1"/>
    </xf>
    <xf numFmtId="0" fontId="0" fillId="6" borderId="0" applyAlignment="1" pivotButton="0" quotePrefix="0" xfId="0">
      <alignment horizontal="right" vertical="center" indent="1"/>
    </xf>
    <xf numFmtId="0" fontId="0" fillId="6" borderId="5" applyAlignment="1" pivotButton="0" quotePrefix="0" xfId="0">
      <alignment horizontal="right" vertical="center" indent="1"/>
    </xf>
    <xf numFmtId="0" fontId="0" fillId="6" borderId="6" applyAlignment="1" pivotButton="0" quotePrefix="0" xfId="0">
      <alignment horizontal="right" vertical="center" indent="1"/>
    </xf>
    <xf numFmtId="0" fontId="0" fillId="6" borderId="4" applyAlignment="1" pivotButton="0" quotePrefix="0" xfId="0">
      <alignment horizontal="right" vertical="center" indent="1"/>
    </xf>
    <xf numFmtId="0" fontId="0" fillId="5" borderId="4" applyAlignment="1" pivotButton="0" quotePrefix="0" xfId="0">
      <alignment horizontal="right" vertical="center" indent="1"/>
    </xf>
    <xf numFmtId="0" fontId="0" fillId="7" borderId="6" applyAlignment="1" pivotButton="0" quotePrefix="0" xfId="0">
      <alignment horizontal="right" vertical="center" indent="1"/>
    </xf>
    <xf numFmtId="0" fontId="0" fillId="7" borderId="4" applyAlignment="1" pivotButton="0" quotePrefix="0" xfId="0">
      <alignment horizontal="right" vertical="center" indent="1"/>
    </xf>
    <xf numFmtId="0" fontId="0" fillId="8" borderId="4" applyAlignment="1" pivotButton="0" quotePrefix="0" xfId="0">
      <alignment horizontal="right" vertical="center" indent="1"/>
    </xf>
    <xf numFmtId="0" fontId="0" fillId="8" borderId="0" applyAlignment="1" pivotButton="0" quotePrefix="0" xfId="0">
      <alignment horizontal="right" vertical="center" indent="1"/>
    </xf>
    <xf numFmtId="0" fontId="0" fillId="8" borderId="5" applyAlignment="1" pivotButton="0" quotePrefix="0" xfId="0">
      <alignment horizontal="right" vertical="center" indent="1"/>
    </xf>
    <xf numFmtId="0" fontId="0" fillId="8" borderId="6" applyAlignment="1" pivotButton="0" quotePrefix="0" xfId="0">
      <alignment horizontal="right" vertical="center" indent="1"/>
    </xf>
    <xf numFmtId="0" fontId="0" fillId="5" borderId="6" applyAlignment="1" pivotButton="0" quotePrefix="0" xfId="0">
      <alignment horizontal="right" vertical="center" indent="1"/>
    </xf>
    <xf numFmtId="0" fontId="2" fillId="2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2" fillId="2" borderId="22" applyAlignment="1" pivotButton="0" quotePrefix="0" xfId="0">
      <alignment horizontal="right" vertical="center"/>
    </xf>
    <xf numFmtId="0" fontId="2" fillId="2" borderId="17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0" fillId="7" borderId="23" applyAlignment="1" pivotButton="0" quotePrefix="0" xfId="0">
      <alignment horizontal="right" vertical="center" indent="1"/>
    </xf>
    <xf numFmtId="0" fontId="0" fillId="7" borderId="24" applyAlignment="1" pivotButton="0" quotePrefix="0" xfId="0">
      <alignment horizontal="right" vertical="center" indent="1"/>
    </xf>
    <xf numFmtId="0" fontId="1" fillId="8" borderId="25" applyAlignment="1" pivotButton="0" quotePrefix="0" xfId="0">
      <alignment horizontal="right" vertical="center" indent="1"/>
    </xf>
    <xf numFmtId="0" fontId="7" fillId="10" borderId="1" applyAlignment="1" pivotButton="0" quotePrefix="0" xfId="0">
      <alignment horizontal="right" vertical="center"/>
    </xf>
    <xf numFmtId="0" fontId="7" fillId="9" borderId="6" applyAlignment="1" pivotButton="0" quotePrefix="0" xfId="0">
      <alignment horizontal="right" vertical="center"/>
    </xf>
    <xf numFmtId="0" fontId="7" fillId="9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 indent="1"/>
    </xf>
    <xf numFmtId="0" fontId="7" fillId="12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right" vertical="center" indent="1"/>
    </xf>
    <xf numFmtId="164" fontId="0" fillId="8" borderId="4" applyAlignment="1" pivotButton="0" quotePrefix="0" xfId="0">
      <alignment horizontal="right" vertical="center" indent="1"/>
    </xf>
    <xf numFmtId="164" fontId="0" fillId="6" borderId="4" applyAlignment="1" pivotButton="0" quotePrefix="0" xfId="0">
      <alignment horizontal="right" vertical="center" indent="1"/>
    </xf>
    <xf numFmtId="164" fontId="0" fillId="7" borderId="4" applyAlignment="1" pivotButton="0" quotePrefix="0" xfId="0">
      <alignment horizontal="right" vertical="center" indent="1"/>
    </xf>
    <xf numFmtId="164" fontId="0" fillId="7" borderId="24" applyAlignment="1" pivotButton="0" quotePrefix="0" xfId="0">
      <alignment horizontal="right" vertical="center" indent="1"/>
    </xf>
    <xf numFmtId="164" fontId="0" fillId="8" borderId="19" applyAlignment="1" pivotButton="0" quotePrefix="0" xfId="0">
      <alignment horizontal="center" vertical="center" readingOrder="2"/>
    </xf>
    <xf numFmtId="164" fontId="0" fillId="5" borderId="18" applyAlignment="1" pivotButton="0" quotePrefix="0" xfId="0">
      <alignment horizontal="center" vertical="center" readingOrder="2"/>
    </xf>
    <xf numFmtId="164" fontId="0" fillId="8" borderId="21" applyAlignment="1" pivotButton="0" quotePrefix="0" xfId="0">
      <alignment horizontal="center" vertical="center" readingOrder="2"/>
    </xf>
    <xf numFmtId="164" fontId="0" fillId="5" borderId="5" applyAlignment="1" pivotButton="0" quotePrefix="0" xfId="0">
      <alignment horizontal="center" vertical="center" readingOrder="2"/>
    </xf>
    <xf numFmtId="164" fontId="0" fillId="8" borderId="20" applyAlignment="1" pivotButton="0" quotePrefix="0" xfId="0">
      <alignment horizontal="center" vertical="center" readingOrder="2"/>
    </xf>
    <xf numFmtId="164" fontId="0" fillId="5" borderId="20" applyAlignment="1" pivotButton="0" quotePrefix="0" xfId="0">
      <alignment horizontal="center" vertical="center" readingOrder="2"/>
    </xf>
    <xf numFmtId="164" fontId="0" fillId="8" borderId="18" applyAlignment="1" pivotButton="0" quotePrefix="0" xfId="0">
      <alignment horizontal="center" vertical="center" readingOrder="2"/>
    </xf>
    <xf numFmtId="164" fontId="0" fillId="5" borderId="21" applyAlignment="1" pivotButton="0" quotePrefix="0" xfId="0">
      <alignment horizontal="center" vertical="center" readingOrder="2"/>
    </xf>
    <xf numFmtId="164" fontId="0" fillId="8" borderId="5" applyAlignment="1" pivotButton="0" quotePrefix="0" xfId="0">
      <alignment horizontal="center" vertical="center" readingOrder="2"/>
    </xf>
    <xf numFmtId="164" fontId="0" fillId="6" borderId="5" applyAlignment="1" pivotButton="0" quotePrefix="0" xfId="0">
      <alignment horizontal="center" vertical="center" readingOrder="2"/>
    </xf>
    <xf numFmtId="164" fontId="0" fillId="8" borderId="4" applyAlignment="1" pivotButton="0" quotePrefix="0" xfId="0">
      <alignment horizontal="center" vertical="center" readingOrder="2"/>
    </xf>
    <xf numFmtId="164" fontId="0" fillId="5" borderId="4" applyAlignment="1" pivotButton="0" quotePrefix="0" xfId="0">
      <alignment horizontal="center" vertical="center" readingOrder="2"/>
    </xf>
    <xf numFmtId="0" fontId="5" fillId="5" borderId="6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28" applyAlignment="1" pivotButton="0" quotePrefix="0" xfId="0">
      <alignment horizontal="center" vertical="center" wrapText="1"/>
    </xf>
    <xf numFmtId="0" fontId="7" fillId="12" borderId="29" applyAlignment="1" pivotButton="0" quotePrefix="0" xfId="0">
      <alignment horizontal="center" vertical="center" wrapText="1"/>
    </xf>
    <xf numFmtId="0" fontId="7" fillId="12" borderId="30" applyAlignment="1" pivotButton="0" quotePrefix="0" xfId="0">
      <alignment horizontal="center" vertical="center" wrapText="1"/>
    </xf>
    <xf numFmtId="0" fontId="7" fillId="12" borderId="31" applyAlignment="1" pivotButton="0" quotePrefix="0" xfId="0">
      <alignment horizontal="center" vertical="center" wrapText="1"/>
    </xf>
    <xf numFmtId="0" fontId="2" fillId="2" borderId="29" applyAlignment="1" pivotButton="0" quotePrefix="0" xfId="0">
      <alignment horizontal="right" vertical="center"/>
    </xf>
    <xf numFmtId="0" fontId="2" fillId="2" borderId="30" applyAlignment="1" pivotButton="0" quotePrefix="0" xfId="0">
      <alignment horizontal="right" vertical="center"/>
    </xf>
    <xf numFmtId="0" fontId="2" fillId="2" borderId="32" applyAlignment="1" pivotButton="0" quotePrefix="0" xfId="0">
      <alignment horizontal="right" vertical="center"/>
    </xf>
    <xf numFmtId="0" fontId="0" fillId="6" borderId="33" applyAlignment="1" pivotButton="0" quotePrefix="0" xfId="0">
      <alignment horizontal="right" vertical="center" indent="1"/>
    </xf>
    <xf numFmtId="165" fontId="0" fillId="6" borderId="33" applyAlignment="1" pivotButton="0" quotePrefix="0" xfId="0">
      <alignment horizontal="center" vertical="center" readingOrder="2"/>
    </xf>
    <xf numFmtId="0" fontId="0" fillId="8" borderId="4" applyAlignment="1" pivotButton="0" quotePrefix="0" xfId="0">
      <alignment horizontal="right" vertical="center" indent="1"/>
    </xf>
    <xf numFmtId="165" fontId="0" fillId="8" borderId="4" applyAlignment="1" pivotButton="0" quotePrefix="0" xfId="0">
      <alignment horizontal="center" vertical="center" readingOrder="2"/>
    </xf>
    <xf numFmtId="0" fontId="0" fillId="7" borderId="4" applyAlignment="1" pivotButton="0" quotePrefix="0" xfId="0">
      <alignment horizontal="right" vertical="center" indent="1"/>
    </xf>
    <xf numFmtId="0" fontId="0" fillId="7" borderId="28" applyAlignment="1" pivotButton="0" quotePrefix="0" xfId="0">
      <alignment horizontal="right" vertical="center" indent="1"/>
    </xf>
    <xf numFmtId="0" fontId="0" fillId="6" borderId="4" applyAlignment="1" pivotButton="0" quotePrefix="0" xfId="0">
      <alignment horizontal="right" vertical="center" indent="1"/>
    </xf>
    <xf numFmtId="165" fontId="0" fillId="5" borderId="4" applyAlignment="1" pivotButton="0" quotePrefix="0" xfId="0">
      <alignment horizontal="center" vertical="center" readingOrder="2"/>
    </xf>
    <xf numFmtId="0" fontId="0" fillId="6" borderId="28" applyAlignment="1" pivotButton="0" quotePrefix="0" xfId="0">
      <alignment horizontal="right" vertical="center" indent="1"/>
    </xf>
    <xf numFmtId="0" fontId="0" fillId="2" borderId="34" applyAlignment="1" pivotButton="0" quotePrefix="0" xfId="0">
      <alignment horizontal="right" vertical="center" indent="1"/>
    </xf>
    <xf numFmtId="0" fontId="0" fillId="2" borderId="9" applyAlignment="1" pivotButton="0" quotePrefix="0" xfId="0">
      <alignment horizontal="right" vertical="center" indent="1"/>
    </xf>
    <xf numFmtId="0" fontId="1" fillId="2" borderId="31" applyAlignment="1" pivotButton="0" quotePrefix="0" xfId="0">
      <alignment horizontal="right" vertical="center" indent="1"/>
    </xf>
    <xf numFmtId="0" fontId="0" fillId="8" borderId="36" applyAlignment="1" pivotButton="0" quotePrefix="0" xfId="0">
      <alignment horizontal="right" vertical="center" indent="1"/>
    </xf>
    <xf numFmtId="165" fontId="0" fillId="8" borderId="36" applyAlignment="1" pivotButton="0" quotePrefix="0" xfId="0">
      <alignment horizontal="center" vertical="center" readingOrder="2"/>
    </xf>
    <xf numFmtId="0" fontId="0" fillId="5" borderId="4" applyAlignment="1" pivotButton="0" quotePrefix="0" xfId="0">
      <alignment horizontal="right" vertical="center" indent="1"/>
    </xf>
    <xf numFmtId="0" fontId="0" fillId="5" borderId="28" applyAlignment="1" pivotButton="0" quotePrefix="0" xfId="0">
      <alignment horizontal="right" vertical="center" indent="1"/>
    </xf>
    <xf numFmtId="0" fontId="0" fillId="8" borderId="28" applyAlignment="1" pivotButton="0" quotePrefix="0" xfId="0">
      <alignment horizontal="right" vertical="center" indent="1"/>
    </xf>
    <xf numFmtId="0" fontId="0" fillId="3" borderId="36" applyAlignment="1" pivotButton="0" quotePrefix="0" xfId="0">
      <alignment horizontal="right" vertical="center" indent="1"/>
    </xf>
    <xf numFmtId="0" fontId="0" fillId="3" borderId="35" applyAlignment="1" pivotButton="0" quotePrefix="0" xfId="0">
      <alignment horizontal="right" vertical="center" indent="1"/>
    </xf>
    <xf numFmtId="0" fontId="0" fillId="2" borderId="4" applyAlignment="1" pivotButton="0" quotePrefix="0" xfId="0">
      <alignment horizontal="right" vertical="center" indent="1"/>
    </xf>
    <xf numFmtId="0" fontId="0" fillId="2" borderId="28" applyAlignment="1" pivotButton="0" quotePrefix="0" xfId="0">
      <alignment horizontal="right" vertical="center" indent="1"/>
    </xf>
    <xf numFmtId="0" fontId="0" fillId="6" borderId="36" applyAlignment="1" pivotButton="0" quotePrefix="0" xfId="0">
      <alignment horizontal="right" vertical="center" indent="1"/>
    </xf>
    <xf numFmtId="165" fontId="0" fillId="6" borderId="36" applyAlignment="1" pivotButton="0" quotePrefix="0" xfId="0">
      <alignment horizontal="right" vertical="center" indent="1"/>
    </xf>
    <xf numFmtId="0" fontId="0" fillId="6" borderId="35" applyAlignment="1" pivotButton="0" quotePrefix="0" xfId="0">
      <alignment horizontal="right" vertical="center" indent="1"/>
    </xf>
    <xf numFmtId="165" fontId="0" fillId="8" borderId="4" applyAlignment="1" pivotButton="0" quotePrefix="0" xfId="0">
      <alignment horizontal="right" vertical="center" indent="1"/>
    </xf>
    <xf numFmtId="165" fontId="0" fillId="6" borderId="4" applyAlignment="1" pivotButton="0" quotePrefix="0" xfId="0">
      <alignment horizontal="right" vertical="center" indent="1"/>
    </xf>
    <xf numFmtId="165" fontId="0" fillId="7" borderId="4" applyAlignment="1" pivotButton="0" quotePrefix="0" xfId="0">
      <alignment horizontal="right" vertical="center" indent="1"/>
    </xf>
    <xf numFmtId="165" fontId="0" fillId="7" borderId="38" applyAlignment="1" pivotButton="0" quotePrefix="0" xfId="0">
      <alignment horizontal="right" vertical="center" indent="1"/>
    </xf>
    <xf numFmtId="0" fontId="1" fillId="8" borderId="37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right" vertical="center" indent="1"/>
    </xf>
    <xf numFmtId="0" fontId="0" fillId="6" borderId="5" applyAlignment="1" pivotButton="0" quotePrefix="0" xfId="0">
      <alignment horizontal="right" vertical="center" indent="1"/>
    </xf>
    <xf numFmtId="0" fontId="0" fillId="7" borderId="24" applyAlignment="1" pivotButton="0" quotePrefix="0" xfId="0">
      <alignment horizontal="right" vertical="center" indent="1"/>
    </xf>
    <xf numFmtId="0" fontId="0" fillId="2" borderId="39" applyAlignment="1" pivotButton="0" quotePrefix="0" xfId="0">
      <alignment horizontal="right" vertical="center" indent="1"/>
    </xf>
    <xf numFmtId="0" fontId="0" fillId="8" borderId="44" applyAlignment="1" pivotButton="0" quotePrefix="0" xfId="0">
      <alignment horizontal="right" vertical="center" indent="1"/>
    </xf>
    <xf numFmtId="0" fontId="0" fillId="5" borderId="45" applyAlignment="1" pivotButton="0" quotePrefix="0" xfId="0">
      <alignment horizontal="right" vertical="center" indent="1"/>
    </xf>
    <xf numFmtId="0" fontId="0" fillId="8" borderId="20" applyAlignment="1" pivotButton="0" quotePrefix="0" xfId="0">
      <alignment horizontal="right" vertical="center" indent="1"/>
    </xf>
    <xf numFmtId="0" fontId="0" fillId="5" borderId="20" applyAlignment="1" pivotButton="0" quotePrefix="0" xfId="0">
      <alignment horizontal="right" vertical="center" indent="1"/>
    </xf>
    <xf numFmtId="0" fontId="0" fillId="5" borderId="46" applyAlignment="1" pivotButton="0" quotePrefix="0" xfId="0">
      <alignment horizontal="right" vertical="center" indent="1"/>
    </xf>
    <xf numFmtId="0" fontId="0" fillId="7" borderId="47" applyAlignment="1" pivotButton="0" quotePrefix="0" xfId="0">
      <alignment horizontal="right" vertical="center" indent="1"/>
    </xf>
    <xf numFmtId="0" fontId="0" fillId="6" borderId="48" applyAlignment="1" pivotButton="0" quotePrefix="0" xfId="0">
      <alignment horizontal="right" vertical="center" indent="1"/>
    </xf>
    <xf numFmtId="0" fontId="0" fillId="7" borderId="20" applyAlignment="1" pivotButton="0" quotePrefix="0" xfId="0">
      <alignment horizontal="right" vertical="center" indent="1"/>
    </xf>
    <xf numFmtId="0" fontId="0" fillId="6" borderId="20" applyAlignment="1" pivotButton="0" quotePrefix="0" xfId="0">
      <alignment horizontal="right" vertical="center" indent="1"/>
    </xf>
    <xf numFmtId="0" fontId="3" fillId="0" borderId="5" applyAlignment="1" pivotButton="0" quotePrefix="0" xfId="0">
      <alignment horizontal="right" vertical="center" indent="1"/>
    </xf>
    <xf numFmtId="0" fontId="2" fillId="2" borderId="49" applyAlignment="1" pivotButton="0" quotePrefix="0" xfId="0">
      <alignment horizontal="right" vertical="center"/>
    </xf>
    <xf numFmtId="0" fontId="1" fillId="2" borderId="17" applyAlignment="1" pivotButton="0" quotePrefix="0" xfId="0">
      <alignment horizontal="right" vertical="center" indent="1"/>
    </xf>
    <xf numFmtId="0" fontId="7" fillId="11" borderId="26" applyAlignment="1" pivotButton="0" quotePrefix="0" xfId="0">
      <alignment horizontal="center" vertical="center" wrapText="1"/>
    </xf>
    <xf numFmtId="0" fontId="0" fillId="6" borderId="51" applyAlignment="1" pivotButton="0" quotePrefix="0" xfId="0">
      <alignment horizontal="right" vertical="center" indent="1"/>
    </xf>
    <xf numFmtId="0" fontId="0" fillId="7" borderId="52" applyAlignment="1" pivotButton="0" quotePrefix="0" xfId="0">
      <alignment horizontal="right" vertical="center" indent="1"/>
    </xf>
    <xf numFmtId="0" fontId="0" fillId="6" borderId="52" applyAlignment="1" pivotButton="0" quotePrefix="0" xfId="0">
      <alignment horizontal="right" vertical="center" indent="1"/>
    </xf>
    <xf numFmtId="0" fontId="0" fillId="7" borderId="53" applyAlignment="1" pivotButton="0" quotePrefix="0" xfId="0">
      <alignment horizontal="right" vertical="center" indent="1"/>
    </xf>
    <xf numFmtId="0" fontId="0" fillId="5" borderId="54" applyAlignment="1" pivotButton="0" quotePrefix="0" xfId="0">
      <alignment horizontal="right" vertical="center" indent="1"/>
    </xf>
    <xf numFmtId="0" fontId="7" fillId="9" borderId="3" applyAlignment="1" pivotButton="0" quotePrefix="0" xfId="0">
      <alignment horizontal="left" vertical="center" indent="4"/>
    </xf>
    <xf numFmtId="0" fontId="7" fillId="9" borderId="1" applyAlignment="1" pivotButton="0" quotePrefix="0" xfId="0">
      <alignment horizontal="left" vertical="center" indent="4"/>
    </xf>
    <xf numFmtId="0" fontId="7" fillId="9" borderId="50" applyAlignment="1" pivotButton="0" quotePrefix="0" xfId="0">
      <alignment horizontal="left" vertical="center" indent="4"/>
    </xf>
    <xf numFmtId="0" fontId="7" fillId="9" borderId="40" applyAlignment="1" pivotButton="0" quotePrefix="0" xfId="0">
      <alignment horizontal="left" vertical="center" indent="4"/>
    </xf>
    <xf numFmtId="0" fontId="7" fillId="9" borderId="41" applyAlignment="1" pivotButton="0" quotePrefix="0" xfId="0">
      <alignment horizontal="left" vertical="center" indent="4"/>
    </xf>
    <xf numFmtId="0" fontId="7" fillId="9" borderId="42" applyAlignment="1" pivotButton="0" quotePrefix="0" xfId="0">
      <alignment horizontal="left" vertical="center" indent="4"/>
    </xf>
    <xf numFmtId="0" fontId="7" fillId="10" borderId="27" applyAlignment="1" pivotButton="0" quotePrefix="0" xfId="0">
      <alignment horizontal="left" vertical="center" indent="4"/>
    </xf>
    <xf numFmtId="0" fontId="7" fillId="10" borderId="1" applyAlignment="1" pivotButton="0" quotePrefix="0" xfId="0">
      <alignment horizontal="left" vertical="center" indent="4"/>
    </xf>
    <xf numFmtId="0" fontId="7" fillId="10" borderId="43" applyAlignment="1" pivotButton="0" quotePrefix="0" xfId="0">
      <alignment horizontal="left" vertical="center" indent="4"/>
    </xf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4" fontId="0" fillId="6" borderId="5" applyAlignment="1" pivotButton="0" quotePrefix="0" xfId="0">
      <alignment horizontal="center" vertical="center" readingOrder="2"/>
    </xf>
    <xf numFmtId="164" fontId="0" fillId="8" borderId="4" applyAlignment="1" pivotButton="0" quotePrefix="0" xfId="0">
      <alignment horizontal="center" vertical="center" readingOrder="2"/>
    </xf>
    <xf numFmtId="164" fontId="0" fillId="5" borderId="4" applyAlignment="1" pivotButton="0" quotePrefix="0" xfId="0">
      <alignment horizontal="center" vertical="center" readingOrder="2"/>
    </xf>
    <xf numFmtId="164" fontId="0" fillId="8" borderId="19" applyAlignment="1" pivotButton="0" quotePrefix="0" xfId="0">
      <alignment horizontal="center" vertical="center" readingOrder="2"/>
    </xf>
    <xf numFmtId="164" fontId="0" fillId="5" borderId="18" applyAlignment="1" pivotButton="0" quotePrefix="0" xfId="0">
      <alignment horizontal="center" vertical="center" readingOrder="2"/>
    </xf>
    <xf numFmtId="164" fontId="0" fillId="8" borderId="21" applyAlignment="1" pivotButton="0" quotePrefix="0" xfId="0">
      <alignment horizontal="center" vertical="center" readingOrder="2"/>
    </xf>
    <xf numFmtId="164" fontId="0" fillId="5" borderId="5" applyAlignment="1" pivotButton="0" quotePrefix="0" xfId="0">
      <alignment horizontal="center" vertical="center" readingOrder="2"/>
    </xf>
    <xf numFmtId="164" fontId="0" fillId="8" borderId="20" applyAlignment="1" pivotButton="0" quotePrefix="0" xfId="0">
      <alignment horizontal="center" vertical="center" readingOrder="2"/>
    </xf>
    <xf numFmtId="164" fontId="0" fillId="5" borderId="20" applyAlignment="1" pivotButton="0" quotePrefix="0" xfId="0">
      <alignment horizontal="center" vertical="center" readingOrder="2"/>
    </xf>
    <xf numFmtId="164" fontId="0" fillId="8" borderId="18" applyAlignment="1" pivotButton="0" quotePrefix="0" xfId="0">
      <alignment horizontal="center" vertical="center" readingOrder="2"/>
    </xf>
    <xf numFmtId="164" fontId="0" fillId="5" borderId="21" applyAlignment="1" pivotButton="0" quotePrefix="0" xfId="0">
      <alignment horizontal="center" vertical="center" readingOrder="2"/>
    </xf>
    <xf numFmtId="164" fontId="0" fillId="8" borderId="5" applyAlignment="1" pivotButton="0" quotePrefix="0" xfId="0">
      <alignment horizontal="center" vertical="center" readingOrder="2"/>
    </xf>
    <xf numFmtId="164" fontId="0" fillId="6" borderId="5" applyAlignment="1" pivotButton="0" quotePrefix="0" xfId="0">
      <alignment horizontal="right" vertical="center" indent="1"/>
    </xf>
    <xf numFmtId="164" fontId="0" fillId="8" borderId="4" applyAlignment="1" pivotButton="0" quotePrefix="0" xfId="0">
      <alignment horizontal="right" vertical="center" indent="1"/>
    </xf>
    <xf numFmtId="164" fontId="0" fillId="6" borderId="4" applyAlignment="1" pivotButton="0" quotePrefix="0" xfId="0">
      <alignment horizontal="right" vertical="center" indent="1"/>
    </xf>
    <xf numFmtId="164" fontId="0" fillId="7" borderId="4" applyAlignment="1" pivotButton="0" quotePrefix="0" xfId="0">
      <alignment horizontal="right" vertical="center" indent="1"/>
    </xf>
    <xf numFmtId="164" fontId="0" fillId="7" borderId="24" applyAlignment="1" pivotButton="0" quotePrefix="0" xfId="0">
      <alignment horizontal="right" vertical="center" indent="1"/>
    </xf>
    <xf numFmtId="0" fontId="7" fillId="9" borderId="18" applyAlignment="1" pivotButton="0" quotePrefix="0" xfId="0">
      <alignment horizontal="left" vertical="center" indent="4"/>
    </xf>
    <xf numFmtId="0" fontId="0" fillId="0" borderId="50" pivotButton="0" quotePrefix="0" xfId="0"/>
    <xf numFmtId="165" fontId="0" fillId="6" borderId="33" applyAlignment="1" pivotButton="0" quotePrefix="0" xfId="0">
      <alignment horizontal="center" vertical="center" readingOrder="2"/>
    </xf>
    <xf numFmtId="165" fontId="0" fillId="8" borderId="4" applyAlignment="1" pivotButton="0" quotePrefix="0" xfId="0">
      <alignment horizontal="center" vertical="center" readingOrder="2"/>
    </xf>
    <xf numFmtId="165" fontId="0" fillId="5" borderId="4" applyAlignment="1" pivotButton="0" quotePrefix="0" xfId="0">
      <alignment horizontal="center" vertical="center" readingOrder="2"/>
    </xf>
    <xf numFmtId="0" fontId="7" fillId="9" borderId="55" applyAlignment="1" pivotButton="0" quotePrefix="0" xfId="0">
      <alignment horizontal="left" vertical="center" indent="4"/>
    </xf>
    <xf numFmtId="0" fontId="0" fillId="0" borderId="41" pivotButton="0" quotePrefix="0" xfId="0"/>
    <xf numFmtId="0" fontId="0" fillId="0" borderId="42" pivotButton="0" quotePrefix="0" xfId="0"/>
    <xf numFmtId="165" fontId="0" fillId="8" borderId="36" applyAlignment="1" pivotButton="0" quotePrefix="0" xfId="0">
      <alignment horizontal="center" vertical="center" readingOrder="2"/>
    </xf>
    <xf numFmtId="0" fontId="7" fillId="10" borderId="57" applyAlignment="1" pivotButton="0" quotePrefix="0" xfId="0">
      <alignment horizontal="left" vertical="center" indent="4"/>
    </xf>
    <xf numFmtId="0" fontId="0" fillId="0" borderId="43" pivotButton="0" quotePrefix="0" xfId="0"/>
    <xf numFmtId="165" fontId="0" fillId="6" borderId="36" applyAlignment="1" pivotButton="0" quotePrefix="0" xfId="0">
      <alignment horizontal="right" vertical="center" indent="1"/>
    </xf>
    <xf numFmtId="165" fontId="0" fillId="8" borderId="4" applyAlignment="1" pivotButton="0" quotePrefix="0" xfId="0">
      <alignment horizontal="right" vertical="center" indent="1"/>
    </xf>
    <xf numFmtId="165" fontId="0" fillId="6" borderId="4" applyAlignment="1" pivotButton="0" quotePrefix="0" xfId="0">
      <alignment horizontal="right" vertical="center" indent="1"/>
    </xf>
    <xf numFmtId="165" fontId="0" fillId="7" borderId="4" applyAlignment="1" pivotButton="0" quotePrefix="0" xfId="0">
      <alignment horizontal="right" vertical="center" indent="1"/>
    </xf>
    <xf numFmtId="165" fontId="0" fillId="7" borderId="38" applyAlignment="1" pivotButton="0" quotePrefix="0" xfId="0">
      <alignment horizontal="righ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zoomScaleNormal="100" zoomScaleSheetLayoutView="100" zoomScalePageLayoutView="38" workbookViewId="0">
      <selection activeCell="J86" sqref="J86"/>
    </sheetView>
  </sheetViews>
  <sheetFormatPr baseColWidth="8" defaultRowHeight="14.4"/>
  <cols>
    <col width="0.6640625" customWidth="1" style="45" min="1" max="1"/>
    <col width="63.88671875" customWidth="1" style="45" min="2" max="2"/>
    <col width="39.21875" customWidth="1" style="45" min="3" max="3"/>
    <col width="17.109375" customWidth="1" style="45" min="4" max="4"/>
    <col width="24.44140625" customWidth="1" style="45" min="5" max="5"/>
    <col width="0.6640625" customWidth="1" style="45" min="6" max="6"/>
    <col width="8.88671875" customWidth="1" style="45" min="7" max="16384"/>
  </cols>
  <sheetData>
    <row r="1" ht="3.6" customHeight="1">
      <c r="A1" s="5" t="n"/>
      <c r="B1" s="5" t="n"/>
      <c r="C1" s="5" t="n"/>
      <c r="D1" s="5" t="n"/>
      <c r="E1" s="5" t="n"/>
      <c r="F1" s="5" t="n"/>
    </row>
    <row r="2" ht="44.1" customFormat="1" customHeight="1" s="3" thickBot="1">
      <c r="A2" s="19" t="n"/>
      <c r="B2" s="36" t="inlineStr">
        <is>
          <t>اسم المشروع: حكايات تيتة وجدو</t>
        </is>
      </c>
      <c r="C2" s="134" t="n"/>
      <c r="D2" s="134" t="n"/>
      <c r="E2" s="134" t="n"/>
      <c r="F2" s="19" t="n"/>
    </row>
    <row r="3" ht="24" customHeight="1" thickTop="1">
      <c r="A3" s="19" t="n"/>
      <c r="B3" s="33" t="inlineStr">
        <is>
          <t>خطة تنفيذ لمدة 90 يومًا لمشروع يجمع بين التصوير البشري والرسم ثنائي الأبعاد والتحريك والمونتاج.</t>
        </is>
      </c>
      <c r="C3" s="135" t="n"/>
      <c r="D3" s="135" t="n"/>
      <c r="E3" s="135" t="n"/>
      <c r="F3" s="19" t="n"/>
      <c r="H3" s="3" t="n"/>
    </row>
    <row r="4" ht="28.5" customFormat="1" customHeight="1" s="3">
      <c r="A4" s="19" t="n"/>
      <c r="B4" s="37" t="inlineStr">
        <is>
          <t>ملاحظات</t>
        </is>
      </c>
      <c r="C4" s="38" t="inlineStr">
        <is>
          <t>النشاط</t>
        </is>
      </c>
      <c r="D4" s="38" t="inlineStr">
        <is>
          <t>التاريخ</t>
        </is>
      </c>
      <c r="E4" s="38" t="inlineStr">
        <is>
          <t>اليوم</t>
        </is>
      </c>
      <c r="F4" s="19" t="n"/>
    </row>
    <row r="5" ht="3.6" customFormat="1" customHeight="1" s="3">
      <c r="A5" s="19" t="n"/>
      <c r="B5" s="47" t="n"/>
      <c r="C5" s="47" t="n"/>
      <c r="D5" s="47" t="n"/>
      <c r="E5" s="47" t="n"/>
      <c r="F5" s="19" t="n"/>
    </row>
    <row r="6" ht="27.9" customHeight="1">
      <c r="A6" s="19" t="n"/>
      <c r="B6" s="43" t="inlineStr">
        <is>
          <t>المرحلة الأولى: التحضير والتصوير البشري (الأيام 1–30)</t>
        </is>
      </c>
      <c r="C6" s="136" t="n"/>
      <c r="D6" s="136" t="n"/>
      <c r="E6" s="136" t="n"/>
      <c r="F6" s="19" t="n"/>
    </row>
    <row r="7" ht="3.6" customHeight="1" thickBot="1">
      <c r="A7" s="19" t="n"/>
      <c r="B7" s="7" t="n"/>
      <c r="C7" s="34" t="n"/>
      <c r="D7" s="35" t="n"/>
      <c r="E7" s="35" t="n"/>
      <c r="F7" s="19" t="n"/>
    </row>
    <row r="8" ht="18.6" customHeight="1" thickTop="1">
      <c r="A8" s="18" t="n"/>
      <c r="B8" s="20" t="inlineStr">
        <is>
          <t>تثبيت مدة الفيديو، صيغة التسليم، والنسخة المطلوبة.</t>
        </is>
      </c>
      <c r="C8" s="104" t="inlineStr">
        <is>
          <t>تحديد نطاق المشروع ومخرجاته النهائية</t>
        </is>
      </c>
      <c r="D8" s="137">
        <f>DATE(2025,9,1)</f>
        <v/>
      </c>
      <c r="E8" s="104" t="n">
        <v>1</v>
      </c>
      <c r="F8" s="17" t="n"/>
    </row>
    <row r="9" ht="18" customHeight="1">
      <c r="A9" s="18" t="n"/>
      <c r="B9" s="25" t="inlineStr">
        <is>
          <t>تحديد فكرة الحكاية والرسالة الأساسية.</t>
        </is>
      </c>
      <c r="C9" s="78" t="inlineStr">
        <is>
          <t>مراجعة فكرة حكايات تيتة وجدو</t>
        </is>
      </c>
      <c r="D9" s="138">
        <f>D8+1</f>
        <v/>
      </c>
      <c r="E9" s="76" t="n">
        <v>2</v>
      </c>
      <c r="F9" s="17" t="n"/>
    </row>
    <row r="10" ht="18" customHeight="1">
      <c r="A10" s="18" t="n"/>
      <c r="B10" s="22" t="inlineStr">
        <is>
          <t>تحديد مشاهد البيت ومشاهد الحكاية المرسومة.</t>
        </is>
      </c>
      <c r="C10" s="80" t="inlineStr">
        <is>
          <t>مراجعة السيناريو وتقسيمه</t>
        </is>
      </c>
      <c r="D10" s="139">
        <f>D9+1</f>
        <v/>
      </c>
      <c r="E10" s="80" t="n">
        <v>3</v>
      </c>
      <c r="F10" s="17" t="n"/>
    </row>
    <row r="11" ht="18" customHeight="1">
      <c r="A11" s="18" t="n"/>
      <c r="B11" s="25" t="inlineStr">
        <is>
          <t>حصر الشخصيات البشرية والمرسومة واحتياجات كل شخصية.</t>
        </is>
      </c>
      <c r="C11" s="78" t="inlineStr">
        <is>
          <t>تحديد الشخصيات وأدوارها</t>
        </is>
      </c>
      <c r="D11" s="138">
        <f>D10+1</f>
        <v/>
      </c>
      <c r="E11" s="76" t="n">
        <v>4</v>
      </c>
      <c r="F11" s="17" t="n"/>
    </row>
    <row r="12" ht="18" customHeight="1">
      <c r="A12" s="18" t="n"/>
      <c r="B12" s="22" t="inlineStr">
        <is>
          <t>ترقيم المشاهد وتحديد موقع كل مشهد ونوعه.</t>
        </is>
      </c>
      <c r="C12" s="80" t="inlineStr">
        <is>
          <t>إعداد قائمة المشاهد</t>
        </is>
      </c>
      <c r="D12" s="139">
        <f>D11+1</f>
        <v/>
      </c>
      <c r="E12" s="80" t="n">
        <v>5</v>
      </c>
      <c r="F12" s="17" t="n"/>
    </row>
    <row r="13" ht="18" customHeight="1">
      <c r="A13" s="18" t="n"/>
      <c r="B13" s="25" t="inlineStr">
        <is>
          <t>مراجعة تسلسل اللقطات مع روان وتحديد التعديلات.</t>
        </is>
      </c>
      <c r="C13" s="78" t="inlineStr">
        <is>
          <t>مراجعة الـ Storyboard</t>
        </is>
      </c>
      <c r="D13" s="138">
        <f>D12+1</f>
        <v/>
      </c>
      <c r="E13" s="76" t="n">
        <v>6</v>
      </c>
      <c r="F13" s="17" t="n"/>
    </row>
    <row r="14" ht="18" customHeight="1">
      <c r="A14" s="18" t="n"/>
      <c r="B14" s="22" t="inlineStr">
        <is>
          <t>توحيد شكل الشخصيات والألوان وطريقة الحركة.</t>
        </is>
      </c>
      <c r="C14" s="80" t="inlineStr">
        <is>
          <t>تحديد أسلوب الرسم والتحريك</t>
        </is>
      </c>
      <c r="D14" s="139">
        <f>D13+1</f>
        <v/>
      </c>
      <c r="E14" s="80" t="n">
        <v>7</v>
      </c>
      <c r="F14" s="17" t="n"/>
    </row>
    <row r="15" ht="18" customHeight="1">
      <c r="A15" s="18" t="n"/>
      <c r="B15" s="25" t="inlineStr">
        <is>
          <t>تجميع مراجع للملابس والتعبيرات والأوضاع.</t>
        </is>
      </c>
      <c r="C15" s="78" t="inlineStr">
        <is>
          <t>إعداد مراجع بصرية للشخصيات</t>
        </is>
      </c>
      <c r="D15" s="138">
        <f>D14+1</f>
        <v/>
      </c>
      <c r="E15" s="76" t="n">
        <v>8</v>
      </c>
      <c r="F15" s="17" t="n"/>
    </row>
    <row r="16" ht="18" customHeight="1">
      <c r="A16" s="18" t="n"/>
      <c r="B16" s="22" t="inlineStr">
        <is>
          <t>تحديد المشاهد والممثلين والمكان والأدوات.</t>
        </is>
      </c>
      <c r="C16" s="80" t="inlineStr">
        <is>
          <t>تجهيز خطة التصوير البشري</t>
        </is>
      </c>
      <c r="D16" s="139">
        <f>D15+1</f>
        <v/>
      </c>
      <c r="E16" s="80" t="n">
        <v>9</v>
      </c>
      <c r="F16" s="17" t="n"/>
    </row>
    <row r="17" ht="18" customHeight="1">
      <c r="A17" s="18" t="n"/>
      <c r="B17" s="25" t="inlineStr">
        <is>
          <t>حصر الكاميرا أو الهاتف والإضاءة والصوت والحامل.</t>
        </is>
      </c>
      <c r="C17" s="78" t="inlineStr">
        <is>
          <t>تجهيز قائمة الأدوات والمعدات</t>
        </is>
      </c>
      <c r="D17" s="138">
        <f>D16+1</f>
        <v/>
      </c>
      <c r="E17" s="76" t="n">
        <v>10</v>
      </c>
      <c r="F17" s="17" t="n"/>
    </row>
    <row r="18" ht="18" customHeight="1">
      <c r="A18" s="18" t="n"/>
      <c r="B18" s="22" t="inlineStr">
        <is>
          <t>توزيع المهام ومواعيد التسليم بين الأعضاء.</t>
        </is>
      </c>
      <c r="C18" s="80" t="inlineStr">
        <is>
          <t>تحديد مسؤوليات أعضاء الفريق</t>
        </is>
      </c>
      <c r="D18" s="139">
        <f>D17+1</f>
        <v/>
      </c>
      <c r="E18" s="80" t="n">
        <v>11</v>
      </c>
      <c r="F18" s="17" t="n"/>
    </row>
    <row r="19" ht="18" customHeight="1">
      <c r="A19" s="18" t="n"/>
      <c r="B19" s="25" t="inlineStr">
        <is>
          <t>تحديد نظام تسمية للقطات والرسومات وملفات المشروع.</t>
        </is>
      </c>
      <c r="C19" s="78" t="inlineStr">
        <is>
          <t>إنشاء مجلدات وتنظيم الملفات</t>
        </is>
      </c>
      <c r="D19" s="138">
        <f>D18+1</f>
        <v/>
      </c>
      <c r="E19" s="76" t="n">
        <v>12</v>
      </c>
      <c r="F19" s="17" t="n"/>
    </row>
    <row r="20" ht="18" customHeight="1">
      <c r="A20" s="18" t="n"/>
      <c r="B20" s="22" t="inlineStr">
        <is>
          <t>إضافة أرقام المشاهد واللقطات وملاحظات الأداء.</t>
        </is>
      </c>
      <c r="C20" s="80" t="inlineStr">
        <is>
          <t>تجهيز نسخة تصوير من السيناريو</t>
        </is>
      </c>
      <c r="D20" s="139">
        <f>D19+1</f>
        <v/>
      </c>
      <c r="E20" s="80" t="n">
        <v>13</v>
      </c>
      <c r="F20" s="17" t="n"/>
    </row>
    <row r="21" ht="18" customHeight="1">
      <c r="A21" s="18" t="n"/>
      <c r="B21" s="25" t="inlineStr">
        <is>
          <t>حصر الحوار والموسيقى والمؤثرات والأصوات المطلوبة.</t>
        </is>
      </c>
      <c r="C21" s="78" t="inlineStr">
        <is>
          <t>تحديد احتياجات الصوت</t>
        </is>
      </c>
      <c r="D21" s="138">
        <f>D20+1</f>
        <v/>
      </c>
      <c r="E21" s="76" t="n">
        <v>14</v>
      </c>
      <c r="F21" s="17" t="n"/>
    </row>
    <row r="22" ht="18" customHeight="1">
      <c r="A22" s="18" t="n"/>
      <c r="B22" s="22" t="inlineStr">
        <is>
          <t>حصر المهام التي يمكن دعمها بأدوات AI بعد مراجعة النتائج.</t>
        </is>
      </c>
      <c r="C22" s="80" t="inlineStr">
        <is>
          <t>تحديد احتياجات الذكاء الاصطناعي</t>
        </is>
      </c>
      <c r="D22" s="139">
        <f>D21+1</f>
        <v/>
      </c>
      <c r="E22" s="80" t="n">
        <v>15</v>
      </c>
      <c r="F22" s="17" t="n"/>
    </row>
    <row r="23" ht="18" customHeight="1">
      <c r="A23" s="18" t="n"/>
      <c r="B23" s="25" t="inlineStr">
        <is>
          <t>تحديد أحجام اللقطات وزوايا الكاميرا وحركة الممثلين.</t>
        </is>
      </c>
      <c r="C23" s="78" t="inlineStr">
        <is>
          <t>تجهيز قائمة اللقطات</t>
        </is>
      </c>
      <c r="D23" s="138">
        <f>D22+1</f>
        <v/>
      </c>
      <c r="E23" s="76" t="n">
        <v>16</v>
      </c>
      <c r="F23" s="17" t="n"/>
    </row>
    <row r="24" ht="18" customHeight="1">
      <c r="A24" s="18" t="n"/>
      <c r="B24" s="22" t="inlineStr">
        <is>
          <t>اختبار الخلفية والإضاءة وتقليل الضوضاء البصرية.</t>
        </is>
      </c>
      <c r="C24" s="80" t="inlineStr">
        <is>
          <t>مراجعة جاهزية موقع التصوير</t>
        </is>
      </c>
      <c r="D24" s="139">
        <f>D23+1</f>
        <v/>
      </c>
      <c r="E24" s="80" t="n">
        <v>17</v>
      </c>
      <c r="F24" s="17" t="n"/>
    </row>
    <row r="25" ht="18" customHeight="1">
      <c r="A25" s="18" t="n"/>
      <c r="B25" s="25" t="inlineStr">
        <is>
          <t>تصوير لقطة تجريبية وفحص الصورة والصوت.</t>
        </is>
      </c>
      <c r="C25" s="78" t="inlineStr">
        <is>
          <t>اختبار تصوير قصير</t>
        </is>
      </c>
      <c r="D25" s="138">
        <f>D24+1</f>
        <v/>
      </c>
      <c r="E25" s="76" t="n">
        <v>18</v>
      </c>
      <c r="F25" s="17" t="n"/>
    </row>
    <row r="26" ht="18" customHeight="1">
      <c r="A26" s="18" t="n"/>
      <c r="B26" s="22" t="inlineStr">
        <is>
          <t>تسجيل الملاحظات وتعديل الإضاءة أو زاوية الكاميرا.</t>
        </is>
      </c>
      <c r="C26" s="80" t="inlineStr">
        <is>
          <t>مراجعة اختبار التصوير</t>
        </is>
      </c>
      <c r="D26" s="139">
        <f>D25+1</f>
        <v/>
      </c>
      <c r="E26" s="80" t="n">
        <v>19</v>
      </c>
      <c r="F26" s="17" t="n"/>
    </row>
    <row r="27" ht="18" customHeight="1">
      <c r="A27" s="18" t="n"/>
      <c r="B27" s="25" t="inlineStr">
        <is>
          <t>مراجعة السيناريو والـ Storyboard وجدول التصوير قبل التنفيذ.</t>
        </is>
      </c>
      <c r="C27" s="78" t="inlineStr">
        <is>
          <t>اعتماد خطة ما قبل الإنتاج</t>
        </is>
      </c>
      <c r="D27" s="138">
        <f>D26+1</f>
        <v/>
      </c>
      <c r="E27" s="76" t="n">
        <v>20</v>
      </c>
      <c r="F27" s="17" t="n"/>
    </row>
    <row r="28" ht="18" customHeight="1">
      <c r="A28" s="18" t="n"/>
      <c r="B28" s="22" t="inlineStr">
        <is>
          <t>تنفيذ أول مجموعة من مشاهد تيتة وجدو.</t>
        </is>
      </c>
      <c r="C28" s="80" t="inlineStr">
        <is>
          <t>بدء تصوير مشاهد البيت</t>
        </is>
      </c>
      <c r="D28" s="139">
        <f>D27+1</f>
        <v/>
      </c>
      <c r="E28" s="80" t="n">
        <v>21</v>
      </c>
      <c r="F28" s="17" t="n"/>
    </row>
    <row r="29" ht="18" customHeight="1">
      <c r="A29" s="18" t="n"/>
      <c r="B29" s="25" t="inlineStr">
        <is>
          <t>تسجيل الحوار مع ترك مساحة لإعادة اللقطات.</t>
        </is>
      </c>
      <c r="C29" s="78" t="inlineStr">
        <is>
          <t>تصوير لقطات الحوار</t>
        </is>
      </c>
      <c r="D29" s="138">
        <f>D28+1</f>
        <v/>
      </c>
      <c r="E29" s="76" t="n">
        <v>22</v>
      </c>
      <c r="F29" s="17" t="n"/>
    </row>
    <row r="30" ht="18" customHeight="1">
      <c r="A30" s="18" t="n"/>
      <c r="B30" s="22" t="inlineStr">
        <is>
          <t>تسجيل لقطات قريبة وتفاصيل داعمة للمونتاج.</t>
        </is>
      </c>
      <c r="C30" s="80" t="inlineStr">
        <is>
          <t>تصوير ردود الأفعال واللقطات الإضافية</t>
        </is>
      </c>
      <c r="D30" s="139">
        <f>D29+1</f>
        <v/>
      </c>
      <c r="E30" s="80" t="n">
        <v>23</v>
      </c>
      <c r="F30" s="17" t="n"/>
    </row>
    <row r="31" ht="18" customHeight="1">
      <c r="A31" s="18" t="n"/>
      <c r="B31" s="25" t="inlineStr">
        <is>
          <t>التأكد من وضوح الحوار وثبات الإضاءة.</t>
        </is>
      </c>
      <c r="C31" s="78" t="inlineStr">
        <is>
          <t>مراجعة جودة الصوت والصورة</t>
        </is>
      </c>
      <c r="D31" s="138">
        <f>D30+1</f>
        <v/>
      </c>
      <c r="E31" s="76" t="n">
        <v>24</v>
      </c>
      <c r="F31" s="17" t="n"/>
    </row>
    <row r="32" ht="18" customHeight="1">
      <c r="A32" s="18" t="n"/>
      <c r="B32" s="22" t="inlineStr">
        <is>
          <t>استكمال اللقطات غير الواضحة أو غير المكتملة.</t>
        </is>
      </c>
      <c r="C32" s="80" t="inlineStr">
        <is>
          <t>إعادة تصوير اللقطات الناقصة</t>
        </is>
      </c>
      <c r="D32" s="139">
        <f>D31+1</f>
        <v/>
      </c>
      <c r="E32" s="80" t="n">
        <v>25</v>
      </c>
      <c r="F32" s="17" t="n"/>
    </row>
    <row r="33" ht="18" customHeight="1">
      <c r="A33" s="18" t="n"/>
      <c r="B33" s="25" t="inlineStr">
        <is>
          <t>حفظ نسخة إضافية من كل المواد المصورة.</t>
        </is>
      </c>
      <c r="C33" s="78" t="inlineStr">
        <is>
          <t>نسخ ملفات التصوير احتياطيًا</t>
        </is>
      </c>
      <c r="D33" s="138">
        <f>D32+1</f>
        <v/>
      </c>
      <c r="E33" s="76" t="n">
        <v>26</v>
      </c>
      <c r="F33" s="17" t="n"/>
    </row>
    <row r="34" ht="18" customHeight="1">
      <c r="A34" s="18" t="n"/>
      <c r="B34" s="22" t="inlineStr">
        <is>
          <t>تقسيم الملفات حسب المشهد واللقطة.</t>
        </is>
      </c>
      <c r="C34" s="80" t="inlineStr">
        <is>
          <t>فرز اللقطات وتصنيفها</t>
        </is>
      </c>
      <c r="D34" s="139">
        <f>D33+1</f>
        <v/>
      </c>
      <c r="E34" s="80" t="n">
        <v>27</v>
      </c>
      <c r="F34" s="17" t="n"/>
    </row>
    <row r="35" ht="18" customHeight="1">
      <c r="A35" s="18" t="n"/>
      <c r="B35" s="25" t="inlineStr">
        <is>
          <t>تحديد اللقطات الصالحة للمونتاج الأولي.</t>
        </is>
      </c>
      <c r="C35" s="78" t="inlineStr">
        <is>
          <t>اختيار أفضل اللقطات</t>
        </is>
      </c>
      <c r="D35" s="138">
        <f>D34+1</f>
        <v/>
      </c>
      <c r="E35" s="76" t="n">
        <v>28</v>
      </c>
      <c r="F35" s="17" t="n"/>
    </row>
    <row r="36" ht="18" customHeight="1">
      <c r="A36" s="18" t="n"/>
      <c r="B36" s="22" t="inlineStr">
        <is>
          <t>ترتيب اللقطات وفق تسلسل السيناريو.</t>
        </is>
      </c>
      <c r="C36" s="80" t="inlineStr">
        <is>
          <t>إعداد تجميعة أولية للمشاهد البشرية</t>
        </is>
      </c>
      <c r="D36" s="139">
        <f>D35+1</f>
        <v/>
      </c>
      <c r="E36" s="80" t="n">
        <v>29</v>
      </c>
      <c r="F36" s="17" t="n"/>
    </row>
    <row r="37" ht="18.6" customHeight="1" thickBot="1">
      <c r="A37" s="18" t="n"/>
      <c r="B37" s="25" t="inlineStr">
        <is>
          <t>حصر أي مشاهد أو تفاصيل ما زالت ناقصة.</t>
        </is>
      </c>
      <c r="C37" s="78" t="inlineStr">
        <is>
          <t>مراجعة اكتمال التصوير البشري</t>
        </is>
      </c>
      <c r="D37" s="138">
        <f>D36+1</f>
        <v/>
      </c>
      <c r="E37" s="76" t="n">
        <v>30</v>
      </c>
      <c r="F37" s="17" t="n"/>
    </row>
    <row r="38" ht="3.6" customHeight="1" thickTop="1">
      <c r="A38" s="19" t="n"/>
      <c r="B38" s="84" t="n"/>
      <c r="C38" s="84" t="n"/>
      <c r="D38" s="10" t="n"/>
      <c r="E38" s="84" t="n"/>
      <c r="F38" s="19" t="n"/>
    </row>
    <row r="39" ht="31.2" customHeight="1">
      <c r="A39" s="19" t="n"/>
      <c r="B39" s="44" t="inlineStr">
        <is>
          <t>المرحلة الثانية: الرسم والتحريك والمونتاج الأولي (الأيام 31–60)</t>
        </is>
      </c>
      <c r="F39" s="19" t="n"/>
      <c r="G39" s="45" t="n"/>
    </row>
    <row r="40" ht="3.6" customHeight="1" thickBot="1">
      <c r="A40" s="19" t="n"/>
      <c r="B40" s="8" t="n"/>
      <c r="C40" s="11" t="n"/>
      <c r="D40" s="12" t="n"/>
      <c r="E40" s="12" t="n"/>
      <c r="F40" s="19" t="n"/>
    </row>
    <row r="41" ht="18.6" customHeight="1" thickTop="1">
      <c r="A41" s="18" t="n"/>
      <c r="B41" s="28" t="inlineStr">
        <is>
          <t>مراجعة الرسومات النهائية للشخصيات الأساسية.</t>
        </is>
      </c>
      <c r="C41" s="29" t="inlineStr">
        <is>
          <t>استكمال تصميم الشخصيات</t>
        </is>
      </c>
      <c r="D41" s="140">
        <f>DATE(2025,10,1)</f>
        <v/>
      </c>
      <c r="E41" s="29" t="n">
        <v>31</v>
      </c>
      <c r="F41" s="17" t="n"/>
    </row>
    <row r="42" ht="18" customHeight="1">
      <c r="A42" s="18" t="n"/>
      <c r="B42" s="31" t="inlineStr">
        <is>
          <t>تجهيز التعبيرات اللازمة للحوار والانفعالات.</t>
        </is>
      </c>
      <c r="C42" s="88" t="inlineStr">
        <is>
          <t>رسم تعبيرات الوجه</t>
        </is>
      </c>
      <c r="D42" s="141">
        <f>D41+1</f>
        <v/>
      </c>
      <c r="E42" s="80" t="n">
        <v>32</v>
      </c>
      <c r="F42" s="17" t="n"/>
    </row>
    <row r="43" ht="18" customHeight="1">
      <c r="A43" s="18" t="n"/>
      <c r="B43" s="30" t="inlineStr">
        <is>
          <t>تجهيز الوضعيات المطلوبة لكل مشهد.</t>
        </is>
      </c>
      <c r="C43" s="76" t="inlineStr">
        <is>
          <t>رسم أوضاع الشخصيات</t>
        </is>
      </c>
      <c r="D43" s="142">
        <f>D42+1</f>
        <v/>
      </c>
      <c r="E43" s="76" t="n">
        <v>33</v>
      </c>
      <c r="F43" s="17" t="n"/>
    </row>
    <row r="44" ht="18" customHeight="1">
      <c r="A44" s="18" t="n"/>
      <c r="B44" s="31" t="inlineStr">
        <is>
          <t>التأكد من ثبات الملامح والنسب بين الرسومات.</t>
        </is>
      </c>
      <c r="C44" s="88" t="inlineStr">
        <is>
          <t>مراجعة تناسق الشخصيات</t>
        </is>
      </c>
      <c r="D44" s="141">
        <f>D43+1</f>
        <v/>
      </c>
      <c r="E44" s="80" t="n">
        <v>34</v>
      </c>
      <c r="F44" s="17" t="n"/>
    </row>
    <row r="45" ht="18" customHeight="1">
      <c r="A45" s="18" t="n"/>
      <c r="B45" s="30" t="inlineStr">
        <is>
          <t>فصل العناصر وتنظيم الطبقات حسب الحاجة.</t>
        </is>
      </c>
      <c r="C45" s="76" t="inlineStr">
        <is>
          <t>تجهيز ملفات الرسم للتحريك</t>
        </is>
      </c>
      <c r="D45" s="142">
        <f>D44+1</f>
        <v/>
      </c>
      <c r="E45" s="76" t="n">
        <v>35</v>
      </c>
      <c r="F45" s="17" t="n"/>
    </row>
    <row r="46" ht="18" customHeight="1">
      <c r="A46" s="18" t="n"/>
      <c r="B46" s="31" t="inlineStr">
        <is>
          <t>إعداد الخلفيات المتوافقة مع الـ Storyboard.</t>
        </is>
      </c>
      <c r="C46" s="88" t="inlineStr">
        <is>
          <t>تجهيز خلفيات المشاهد</t>
        </is>
      </c>
      <c r="D46" s="141">
        <f>D45+1</f>
        <v/>
      </c>
      <c r="E46" s="80" t="n">
        <v>36</v>
      </c>
      <c r="F46" s="17" t="n"/>
    </row>
    <row r="47" ht="18" customHeight="1">
      <c r="A47" s="18" t="n"/>
      <c r="B47" s="30" t="inlineStr">
        <is>
          <t>توضيح بداية الحركة ونهايتها وتوقيتها.</t>
        </is>
      </c>
      <c r="C47" s="76" t="inlineStr">
        <is>
          <t>تحديد حركة كل لقطة مرسومة</t>
        </is>
      </c>
      <c r="D47" s="142">
        <f>D46+1</f>
        <v/>
      </c>
      <c r="E47" s="76" t="n">
        <v>37</v>
      </c>
      <c r="F47" s="17" t="n"/>
    </row>
    <row r="48" ht="18" customHeight="1">
      <c r="A48" s="18" t="n"/>
      <c r="B48" s="31" t="inlineStr">
        <is>
          <t>تحريك لقطة قصيرة لاختبار الأسلوب.</t>
        </is>
      </c>
      <c r="C48" s="88" t="inlineStr">
        <is>
          <t>إعداد اختبار حركة للشخصيات</t>
        </is>
      </c>
      <c r="D48" s="141">
        <f>D47+1</f>
        <v/>
      </c>
      <c r="E48" s="80" t="n">
        <v>38</v>
      </c>
      <c r="F48" s="17" t="n"/>
    </row>
    <row r="49" ht="18" customHeight="1">
      <c r="A49" s="18" t="n"/>
      <c r="B49" s="30" t="inlineStr">
        <is>
          <t>تسجيل ملاحظات السرعة والتعبير وسلاسة الحركة.</t>
        </is>
      </c>
      <c r="C49" s="76" t="inlineStr">
        <is>
          <t>مراجعة اختبار التحريك</t>
        </is>
      </c>
      <c r="D49" s="142">
        <f>D48+1</f>
        <v/>
      </c>
      <c r="E49" s="76" t="n">
        <v>39</v>
      </c>
      <c r="F49" s="17" t="n"/>
    </row>
    <row r="50" ht="18" customHeight="1">
      <c r="A50" s="18" t="n"/>
      <c r="B50" s="31" t="inlineStr">
        <is>
          <t>تنفيذ المشاهد ذات الأولوية حسب ترتيب الحكاية.</t>
        </is>
      </c>
      <c r="C50" s="88" t="inlineStr">
        <is>
          <t>بدء تحريك المشاهد الأساسية</t>
        </is>
      </c>
      <c r="D50" s="143">
        <f>D49+1</f>
        <v/>
      </c>
      <c r="E50" s="80" t="n">
        <v>40</v>
      </c>
      <c r="F50" s="17" t="n"/>
    </row>
    <row r="51" ht="18" customHeight="1">
      <c r="A51" s="18" t="n"/>
      <c r="B51" s="30" t="inlineStr">
        <is>
          <t>تنفيذ الحركات المطلوبة للحوار وردود الأفعال.</t>
        </is>
      </c>
      <c r="C51" s="76" t="inlineStr">
        <is>
          <t>تحريك حركات الوجه والجسم</t>
        </is>
      </c>
      <c r="D51" s="144">
        <f>D50+1</f>
        <v/>
      </c>
      <c r="E51" s="76" t="n">
        <v>41</v>
      </c>
      <c r="F51" s="17" t="n"/>
    </row>
    <row r="52" ht="18" customHeight="1">
      <c r="A52" s="18" t="n"/>
      <c r="B52" s="31" t="inlineStr">
        <is>
          <t>تجهيز الانتقالات البصرية اللازمة بين اللقطات.</t>
        </is>
      </c>
      <c r="C52" s="88" t="inlineStr">
        <is>
          <t>تحريك الانتقالات داخل المشاهد</t>
        </is>
      </c>
      <c r="D52" s="145">
        <f>D51+1</f>
        <v/>
      </c>
      <c r="E52" s="80" t="n">
        <v>42</v>
      </c>
      <c r="F52" s="17" t="n"/>
    </row>
    <row r="53" ht="18" customHeight="1">
      <c r="A53" s="18" t="n"/>
      <c r="B53" s="30" t="inlineStr">
        <is>
          <t>ضبط تزامن الحركة مع الكلام عند الحاجة.</t>
        </is>
      </c>
      <c r="C53" s="76" t="inlineStr">
        <is>
          <t>مراجعة توقيت التحريك مع الحوار</t>
        </is>
      </c>
      <c r="D53" s="146">
        <f>D52+1</f>
        <v/>
      </c>
      <c r="E53" s="76" t="n">
        <v>43</v>
      </c>
      <c r="F53" s="17" t="n"/>
    </row>
    <row r="54" ht="18" customHeight="1">
      <c r="A54" s="18" t="n"/>
      <c r="B54" s="31" t="inlineStr">
        <is>
          <t>إنهاء بقية اللقطات المرسومة وفق الخطة.</t>
        </is>
      </c>
      <c r="C54" s="88" t="inlineStr">
        <is>
          <t>استكمال تحريك المشاهد</t>
        </is>
      </c>
      <c r="D54" s="147">
        <f>D53+1</f>
        <v/>
      </c>
      <c r="E54" s="80" t="n">
        <v>44</v>
      </c>
      <c r="F54" s="17" t="n"/>
    </row>
    <row r="55" ht="18" customHeight="1">
      <c r="A55" s="18" t="n"/>
      <c r="B55" s="30" t="inlineStr">
        <is>
          <t>فحص ثبات الخطوط والألوان وعدم وجود قفزات.</t>
        </is>
      </c>
      <c r="C55" s="76" t="inlineStr">
        <is>
          <t>مراجعة جودة الرسوم المتحركة</t>
        </is>
      </c>
      <c r="D55" s="148">
        <f>D54+1</f>
        <v/>
      </c>
      <c r="E55" s="76" t="n">
        <v>45</v>
      </c>
      <c r="F55" s="17" t="n"/>
    </row>
    <row r="56" ht="18" customHeight="1">
      <c r="A56" s="18" t="n"/>
      <c r="B56" s="31" t="inlineStr">
        <is>
          <t>تجربة الأدوات في مهام مساندة فقط ومراجعة الناتج يدويًا.</t>
        </is>
      </c>
      <c r="C56" s="88" t="inlineStr">
        <is>
          <t>تجهيز عناصر مساعدة باستخدام AI عند الحاجة</t>
        </is>
      </c>
      <c r="D56" s="145">
        <f>D55+1</f>
        <v/>
      </c>
      <c r="E56" s="80" t="n">
        <v>46</v>
      </c>
      <c r="F56" s="17" t="n"/>
    </row>
    <row r="57" ht="18" customHeight="1">
      <c r="A57" s="18" t="n"/>
      <c r="B57" s="30" t="inlineStr">
        <is>
          <t>تصحيح العيوب البصرية في العناصر المعتمدة.</t>
        </is>
      </c>
      <c r="C57" s="76" t="inlineStr">
        <is>
          <t>تنظيف العناصر أو الخلفيات المساندة</t>
        </is>
      </c>
      <c r="D57" s="144">
        <f>D56+1</f>
        <v/>
      </c>
      <c r="E57" s="76" t="n">
        <v>47</v>
      </c>
      <c r="F57" s="17" t="n"/>
    </row>
    <row r="58" ht="18" customHeight="1">
      <c r="A58" s="18" t="n"/>
      <c r="B58" s="31" t="inlineStr">
        <is>
          <t>تجهيز عنوان حكايات تيتة وجدو وأسماء المشاركين.</t>
        </is>
      </c>
      <c r="C58" s="88" t="inlineStr">
        <is>
          <t>إعداد التتر الافتتاحي</t>
        </is>
      </c>
      <c r="D58" s="145">
        <f>D57+1</f>
        <v/>
      </c>
      <c r="E58" s="80" t="n">
        <v>48</v>
      </c>
      <c r="F58" s="17" t="n"/>
    </row>
    <row r="59" ht="18" customHeight="1">
      <c r="A59" s="18" t="n"/>
      <c r="B59" s="30" t="inlineStr">
        <is>
          <t>تجهيز أسماء الفريق والاعتمادات بدقة.</t>
        </is>
      </c>
      <c r="C59" s="76" t="inlineStr">
        <is>
          <t>إعداد تتر النهاية وشكر الفريق</t>
        </is>
      </c>
      <c r="D59" s="146">
        <f>D58+1</f>
        <v/>
      </c>
      <c r="E59" s="76" t="n">
        <v>49</v>
      </c>
      <c r="F59" s="17" t="n"/>
    </row>
    <row r="60" ht="18" customHeight="1">
      <c r="A60" s="18" t="n"/>
      <c r="B60" s="31" t="inlineStr">
        <is>
          <t>جمع الحوار والموسيقى والمؤثرات المرخصة أو المتاحة للاستخدام.</t>
        </is>
      </c>
      <c r="C60" s="88" t="inlineStr">
        <is>
          <t>تجهيز ملفات الصوت الأولية</t>
        </is>
      </c>
      <c r="D60" s="143">
        <f>D59+1</f>
        <v/>
      </c>
      <c r="E60" s="80" t="n">
        <v>50</v>
      </c>
      <c r="F60" s="17" t="n"/>
    </row>
    <row r="61" ht="18" customHeight="1">
      <c r="A61" s="18" t="n"/>
      <c r="B61" s="30" t="inlineStr">
        <is>
          <t>تقليل الضوضاء مع الحفاظ على طبيعية الأصوات.</t>
        </is>
      </c>
      <c r="C61" s="76" t="inlineStr">
        <is>
          <t>تنقية الحوار عند الحاجة</t>
        </is>
      </c>
      <c r="D61" s="144">
        <f>D60+1</f>
        <v/>
      </c>
      <c r="E61" s="76" t="n">
        <v>51</v>
      </c>
      <c r="F61" s="17" t="n"/>
    </row>
    <row r="62" ht="18" customHeight="1">
      <c r="A62" s="18" t="n"/>
      <c r="B62" s="31" t="inlineStr">
        <is>
          <t>تسمية النسخ وتحديد المشاهد المكتملة والناقصة.</t>
        </is>
      </c>
      <c r="C62" s="88" t="inlineStr">
        <is>
          <t>تنظيم ملفات التحريك النهائية</t>
        </is>
      </c>
      <c r="D62" s="141">
        <f>D61+1</f>
        <v/>
      </c>
      <c r="E62" s="80" t="n">
        <v>52</v>
      </c>
      <c r="F62" s="17" t="n"/>
    </row>
    <row r="63" ht="18" customHeight="1">
      <c r="A63" s="18" t="n"/>
      <c r="B63" s="30" t="inlineStr">
        <is>
          <t>إخراج المشاهد بصيغ مناسبة للمونتاج.</t>
        </is>
      </c>
      <c r="C63" s="76" t="inlineStr">
        <is>
          <t>تصدير مشاهد التحريك</t>
        </is>
      </c>
      <c r="D63" s="148">
        <f>D62+1</f>
        <v/>
      </c>
      <c r="E63" s="76" t="n">
        <v>53</v>
      </c>
      <c r="F63" s="17" t="n"/>
    </row>
    <row r="64" ht="18" customHeight="1">
      <c r="A64" s="18" t="n"/>
      <c r="B64" s="31" t="inlineStr">
        <is>
          <t>تجربة ترتيب المشاهد وتحديد نقاط الدمج.</t>
        </is>
      </c>
      <c r="C64" s="88" t="inlineStr">
        <is>
          <t>مزامنة ملفات التحريك مع المشاهد البشرية</t>
        </is>
      </c>
      <c r="D64" s="141">
        <f>D63+1</f>
        <v/>
      </c>
      <c r="E64" s="80" t="n">
        <v>54</v>
      </c>
      <c r="F64" s="17" t="n"/>
    </row>
    <row r="65" ht="18" customHeight="1">
      <c r="A65" s="18" t="n"/>
      <c r="B65" s="30" t="inlineStr">
        <is>
          <t>ترتيب المشاهد البشرية والمرسومة حسب السيناريو.</t>
        </is>
      </c>
      <c r="C65" s="76" t="inlineStr">
        <is>
          <t>بدء المونتاج التجميعي</t>
        </is>
      </c>
      <c r="D65" s="148">
        <f>D64+1</f>
        <v/>
      </c>
      <c r="E65" s="76" t="n">
        <v>55</v>
      </c>
      <c r="F65" s="17" t="n"/>
    </row>
    <row r="66" ht="18" customHeight="1">
      <c r="A66" s="18" t="n"/>
      <c r="B66" s="31" t="inlineStr">
        <is>
          <t>تحسين توقيت القطع والانتقال بين العالمين.</t>
        </is>
      </c>
      <c r="C66" s="88" t="inlineStr">
        <is>
          <t>ضبط الإيقاع والانتقالات</t>
        </is>
      </c>
      <c r="D66" s="145">
        <f>D65+1</f>
        <v/>
      </c>
      <c r="E66" s="80" t="n">
        <v>56</v>
      </c>
      <c r="F66" s="17" t="n"/>
    </row>
    <row r="67" ht="18" customHeight="1">
      <c r="A67" s="18" t="n"/>
      <c r="B67" s="30" t="inlineStr">
        <is>
          <t>مراجعة التناسق البصري بين المشاهد المختلفة.</t>
        </is>
      </c>
      <c r="C67" s="76" t="inlineStr">
        <is>
          <t>دمج التصوير البشري مع التحريك</t>
        </is>
      </c>
      <c r="D67" s="146">
        <f>D66+1</f>
        <v/>
      </c>
      <c r="E67" s="76" t="n">
        <v>57</v>
      </c>
      <c r="F67" s="17" t="n"/>
    </row>
    <row r="68" ht="18" customHeight="1">
      <c r="A68" s="18" t="n"/>
      <c r="B68" s="31" t="inlineStr">
        <is>
          <t>ضبط مستويات الصوت وتوقيت المؤثرات.</t>
        </is>
      </c>
      <c r="C68" s="88" t="inlineStr">
        <is>
          <t>إضافة الحوار والموسيقى والمؤثرات</t>
        </is>
      </c>
      <c r="D68" s="143">
        <f>D67+1</f>
        <v/>
      </c>
      <c r="E68" s="80" t="n">
        <v>58</v>
      </c>
      <c r="F68" s="17" t="n"/>
    </row>
    <row r="69" ht="18" customHeight="1">
      <c r="A69" s="18" t="n"/>
      <c r="B69" s="30" t="inlineStr">
        <is>
          <t>عرض نسخة أولية للفريق وتسجيل الملاحظات.</t>
        </is>
      </c>
      <c r="C69" s="76" t="inlineStr">
        <is>
          <t>مراجعة النسخة التجميعية الأولى</t>
        </is>
      </c>
      <c r="D69" s="146">
        <f>D68+1</f>
        <v/>
      </c>
      <c r="E69" s="76" t="n">
        <v>59</v>
      </c>
      <c r="F69" s="17" t="n"/>
    </row>
    <row r="70" ht="18.6" customHeight="1" thickBot="1">
      <c r="A70" s="18" t="n"/>
      <c r="B70" s="31" t="inlineStr">
        <is>
          <t>تقسيم الملاحظات حسب المشهد والأولوية والمسؤول.</t>
        </is>
      </c>
      <c r="C70" s="88" t="inlineStr">
        <is>
          <t>إعداد قائمة تعديلات واضحة</t>
        </is>
      </c>
      <c r="D70" s="143">
        <f>D69+1</f>
        <v/>
      </c>
      <c r="E70" s="80" t="n">
        <v>60</v>
      </c>
      <c r="F70" s="17" t="n"/>
    </row>
    <row r="71" ht="3.6" customHeight="1" thickTop="1">
      <c r="A71" s="19" t="n"/>
      <c r="B71" s="13" t="n"/>
      <c r="C71" s="14" t="n"/>
      <c r="D71" s="14" t="n"/>
      <c r="E71" s="14" t="n"/>
      <c r="F71" s="19" t="n"/>
    </row>
    <row r="72" ht="33.6" customHeight="1">
      <c r="A72" s="19" t="n"/>
      <c r="B72" s="42" t="inlineStr">
        <is>
          <t>المرحلة الثالثة: المراجعة والتعديلات والتسليم (الأيام 61–90)</t>
        </is>
      </c>
      <c r="C72" s="135" t="n"/>
      <c r="D72" s="135" t="n"/>
      <c r="E72" s="135" t="n"/>
      <c r="F72" s="19" t="n"/>
    </row>
    <row r="73" ht="3.6" customHeight="1" thickBot="1">
      <c r="A73" s="19" t="n"/>
      <c r="B73" s="15" t="n"/>
      <c r="C73" s="16" t="n"/>
      <c r="D73" s="16" t="n"/>
      <c r="E73" s="16" t="n"/>
      <c r="F73" s="19" t="n"/>
    </row>
    <row r="74" ht="18" customHeight="1" thickTop="1">
      <c r="A74" s="18" t="n"/>
      <c r="B74" s="20" t="inlineStr">
        <is>
          <t>تطبيق الملاحظات المعتمدة على الصورة والصوت.</t>
        </is>
      </c>
      <c r="C74" s="104" t="inlineStr">
        <is>
          <t>تنفيذ تعديلات النسخة الأولى</t>
        </is>
      </c>
      <c r="D74" s="149">
        <f>DATE(2025,10,31)</f>
        <v/>
      </c>
      <c r="E74" s="104" t="n">
        <v>61</v>
      </c>
      <c r="F74" s="17" t="n"/>
    </row>
    <row r="75" ht="18" customHeight="1">
      <c r="A75" s="18" t="n"/>
      <c r="B75" s="25" t="inlineStr">
        <is>
          <t>تحديد اللقطات الناقصة وإنتاجها أو استبدالها.</t>
        </is>
      </c>
      <c r="C75" s="78" t="inlineStr">
        <is>
          <t>استكمال أي لقطات ناقصة</t>
        </is>
      </c>
      <c r="D75" s="150">
        <f>DATE(2025,11,1)</f>
        <v/>
      </c>
      <c r="E75" s="76" t="n">
        <v>62</v>
      </c>
      <c r="F75" s="17" t="n"/>
    </row>
    <row r="76" ht="18" customHeight="1">
      <c r="A76" s="18" t="n"/>
      <c r="B76" s="22" t="inlineStr">
        <is>
          <t>إصلاح الحركات غير المتناسقة أو التوقيت غير المناسب.</t>
        </is>
      </c>
      <c r="C76" s="80" t="inlineStr">
        <is>
          <t>تصحيح أخطاء التحريك</t>
        </is>
      </c>
      <c r="D76" s="151">
        <f>D75+1</f>
        <v/>
      </c>
      <c r="E76" s="80" t="n">
        <v>63</v>
      </c>
      <c r="F76" s="17" t="n"/>
    </row>
    <row r="77" ht="18" customHeight="1">
      <c r="A77" s="18" t="n"/>
      <c r="B77" s="25" t="inlineStr">
        <is>
          <t>مراجعة القطع وتتابع المشاهد واستمراريتها.</t>
        </is>
      </c>
      <c r="C77" s="78" t="inlineStr">
        <is>
          <t>تصحيح أخطاء المونتاج</t>
        </is>
      </c>
      <c r="D77" s="152">
        <f>D76+1</f>
        <v/>
      </c>
      <c r="E77" s="76" t="n">
        <v>64</v>
      </c>
      <c r="F77" s="17" t="n"/>
    </row>
    <row r="78" ht="18" customHeight="1">
      <c r="A78" s="18" t="n"/>
      <c r="B78" s="22" t="inlineStr">
        <is>
          <t>التأكد من تناسق الأداء والملابس والإضاءة بين اللقطات.</t>
        </is>
      </c>
      <c r="C78" s="80" t="inlineStr">
        <is>
          <t>مراجعة استمرارية التصوير البشري</t>
        </is>
      </c>
      <c r="D78" s="151">
        <f>D77+1</f>
        <v/>
      </c>
      <c r="E78" s="80" t="n">
        <v>65</v>
      </c>
      <c r="F78" s="17" t="n"/>
    </row>
    <row r="79" ht="18" customHeight="1">
      <c r="A79" s="18" t="n"/>
      <c r="B79" s="25" t="inlineStr">
        <is>
          <t>التأكد من اتساق الشخصيات والخلفيات.</t>
        </is>
      </c>
      <c r="C79" s="78" t="inlineStr">
        <is>
          <t>مراجعة تناسق الرسم والألوان</t>
        </is>
      </c>
      <c r="D79" s="152">
        <f>D78+1</f>
        <v/>
      </c>
      <c r="E79" s="76" t="n">
        <v>66</v>
      </c>
      <c r="F79" s="17" t="n"/>
    </row>
    <row r="80" ht="18" customHeight="1">
      <c r="A80" s="18" t="n"/>
      <c r="B80" s="22" t="inlineStr">
        <is>
          <t>مراجعة التزامن النهائي عند وجود حوار مرسوم.</t>
        </is>
      </c>
      <c r="C80" s="80" t="inlineStr">
        <is>
          <t>ضبط الحوار مع حركة الشخصيات</t>
        </is>
      </c>
      <c r="D80" s="151">
        <f>D79+1</f>
        <v/>
      </c>
      <c r="E80" s="80" t="n">
        <v>67</v>
      </c>
      <c r="F80" s="17" t="n"/>
    </row>
    <row r="81" ht="18" customHeight="1">
      <c r="A81" s="18" t="n"/>
      <c r="B81" s="25" t="inlineStr">
        <is>
          <t>التأكد من وضوح الحوار وعدم تغطية الموسيقى عليه.</t>
        </is>
      </c>
      <c r="C81" s="78" t="inlineStr">
        <is>
          <t>مراجعة الموسيقى والمؤثرات</t>
        </is>
      </c>
      <c r="D81" s="152">
        <f>D80+1</f>
        <v/>
      </c>
      <c r="E81" s="76" t="n">
        <v>68</v>
      </c>
      <c r="F81" s="17" t="n"/>
    </row>
    <row r="82" ht="18" customHeight="1">
      <c r="A82" s="18" t="n"/>
      <c r="B82" s="22" t="inlineStr">
        <is>
          <t>تدقيق عنوان المشروع والأسماء الظاهرة.</t>
        </is>
      </c>
      <c r="C82" s="80" t="inlineStr">
        <is>
          <t>مراجعة التتر الافتتاحي</t>
        </is>
      </c>
      <c r="D82" s="151">
        <f>D81+1</f>
        <v/>
      </c>
      <c r="E82" s="80" t="n">
        <v>69</v>
      </c>
      <c r="F82" s="17" t="n"/>
    </row>
    <row r="83" ht="18" customHeight="1">
      <c r="A83" s="18" t="n"/>
      <c r="B83" s="25" t="inlineStr">
        <is>
          <t>تدقيق أسماء الفريق والأدوار.</t>
        </is>
      </c>
      <c r="C83" s="78" t="inlineStr">
        <is>
          <t>مراجعة تتر النهاية</t>
        </is>
      </c>
      <c r="D83" s="152">
        <f>D82+1</f>
        <v/>
      </c>
      <c r="E83" s="76" t="n">
        <v>70</v>
      </c>
      <c r="F83" s="17" t="n"/>
    </row>
    <row r="84" ht="18" customHeight="1">
      <c r="A84" s="18" t="n"/>
      <c r="B84" s="22" t="inlineStr">
        <is>
          <t>تصدير نسخة بعد التعديلات الرئيسية.</t>
        </is>
      </c>
      <c r="C84" s="80" t="inlineStr">
        <is>
          <t>إعداد نسخة ثانية للمراجعة</t>
        </is>
      </c>
      <c r="D84" s="151">
        <f>D83+1</f>
        <v/>
      </c>
      <c r="E84" s="80" t="n">
        <v>71</v>
      </c>
      <c r="F84" s="17" t="n"/>
    </row>
    <row r="85" ht="18" customHeight="1">
      <c r="A85" s="18" t="n"/>
      <c r="B85" s="25" t="inlineStr">
        <is>
          <t>رصد أي خلل في الإيقاع أو الصوت أو الصورة.</t>
        </is>
      </c>
      <c r="C85" s="78" t="inlineStr">
        <is>
          <t>مشاهدة النسخة كاملة دون توقف</t>
        </is>
      </c>
      <c r="D85" s="152">
        <f>D84+1</f>
        <v/>
      </c>
      <c r="E85" s="76" t="n">
        <v>72</v>
      </c>
      <c r="F85" s="17" t="n"/>
    </row>
    <row r="86" ht="18" customHeight="1">
      <c r="A86" s="18" t="n"/>
      <c r="B86" s="22" t="inlineStr">
        <is>
          <t>حصر الملاحظات المتبقية في قائمة واحدة.</t>
        </is>
      </c>
      <c r="C86" s="80" t="inlineStr">
        <is>
          <t>تجميع الملاحظات النهائية</t>
        </is>
      </c>
      <c r="D86" s="151">
        <f>D85+1</f>
        <v/>
      </c>
      <c r="E86" s="80" t="n">
        <v>73</v>
      </c>
      <c r="F86" s="17" t="n"/>
    </row>
    <row r="87" ht="18" customHeight="1">
      <c r="A87" s="18" t="n"/>
      <c r="B87" s="25" t="inlineStr">
        <is>
          <t>إغلاق الملاحظات المؤكدة حسب الأولوية.</t>
        </is>
      </c>
      <c r="C87" s="78" t="inlineStr">
        <is>
          <t>تنفيذ التصحيحات النهائية</t>
        </is>
      </c>
      <c r="D87" s="152">
        <f>D86+1</f>
        <v/>
      </c>
      <c r="E87" s="76" t="n">
        <v>74</v>
      </c>
      <c r="F87" s="17" t="n"/>
    </row>
    <row r="88" ht="18" customHeight="1">
      <c r="A88" s="18" t="n"/>
      <c r="B88" s="22" t="inlineStr">
        <is>
          <t>التأكد من ملاءمة العناصر المساعدة وعدم وجود عيوب واضحة.</t>
        </is>
      </c>
      <c r="C88" s="80" t="inlineStr">
        <is>
          <t>مراجعة استخدام عناصر AI</t>
        </is>
      </c>
      <c r="D88" s="151">
        <f>D87+1</f>
        <v/>
      </c>
      <c r="E88" s="80" t="n">
        <v>75</v>
      </c>
      <c r="F88" s="17" t="n"/>
    </row>
    <row r="89" ht="18" customHeight="1">
      <c r="A89" s="18" t="n"/>
      <c r="B89" s="25" t="inlineStr">
        <is>
          <t>التحقق من صلاحية استخدام الموسيقى والصور والعناصر الخارجية.</t>
        </is>
      </c>
      <c r="C89" s="78" t="inlineStr">
        <is>
          <t>مراجعة الحقوق والمصادر</t>
        </is>
      </c>
      <c r="D89" s="152">
        <f>D88+1</f>
        <v/>
      </c>
      <c r="E89" s="76" t="n">
        <v>76</v>
      </c>
      <c r="F89" s="17" t="n"/>
    </row>
    <row r="90" ht="18" customHeight="1">
      <c r="A90" s="18" t="n"/>
      <c r="B90" s="22" t="inlineStr">
        <is>
          <t>ضبط مستوى الحوار والموسيقى والمؤثرات.</t>
        </is>
      </c>
      <c r="C90" s="80" t="inlineStr">
        <is>
          <t>توحيد مستويات الصوت</t>
        </is>
      </c>
      <c r="D90" s="151">
        <f>D89+1</f>
        <v/>
      </c>
      <c r="E90" s="80" t="n">
        <v>77</v>
      </c>
      <c r="F90" s="17" t="n"/>
    </row>
    <row r="91" ht="18" customHeight="1">
      <c r="A91" s="18" t="n"/>
      <c r="B91" s="25" t="inlineStr">
        <is>
          <t>تحسين التناسق بين اللقطات البشرية قدر الإمكان.</t>
        </is>
      </c>
      <c r="C91" s="78" t="inlineStr">
        <is>
          <t>تصحيح الألوان والإضاءة</t>
        </is>
      </c>
      <c r="D91" s="152">
        <f>D90+1</f>
        <v/>
      </c>
      <c r="E91" s="76" t="n">
        <v>78</v>
      </c>
      <c r="F91" s="17" t="n"/>
    </row>
    <row r="92" ht="18" customHeight="1">
      <c r="A92" s="18" t="n"/>
      <c r="B92" s="22" t="inlineStr">
        <is>
          <t>اختيار إعدادات التصدير المناسبة لمتطلبات التسليم.</t>
        </is>
      </c>
      <c r="C92" s="80" t="inlineStr">
        <is>
          <t>مراجعة دقة الصورة ومعدل الإطارات</t>
        </is>
      </c>
      <c r="D92" s="151">
        <f>D91+1</f>
        <v/>
      </c>
      <c r="E92" s="80" t="n">
        <v>79</v>
      </c>
      <c r="F92" s="17" t="n"/>
    </row>
    <row r="93" ht="18" customHeight="1">
      <c r="A93" s="18" t="n"/>
      <c r="B93" s="25" t="inlineStr">
        <is>
          <t>اختبار التصدير قبل إخراج النسخة النهائية.</t>
        </is>
      </c>
      <c r="C93" s="78" t="inlineStr">
        <is>
          <t>تصدير نسخة تجريبية عالية الجودة</t>
        </is>
      </c>
      <c r="D93" s="152">
        <f>D92+1</f>
        <v/>
      </c>
      <c r="E93" s="76" t="n">
        <v>80</v>
      </c>
      <c r="F93" s="17" t="n"/>
    </row>
    <row r="94" ht="18" customHeight="1">
      <c r="A94" s="18" t="n"/>
      <c r="B94" s="22" t="inlineStr">
        <is>
          <t>التأكد من سلامة الصورة والصوت وعدم وجود إطارات سوداء.</t>
        </is>
      </c>
      <c r="C94" s="80" t="inlineStr">
        <is>
          <t>فحص النسخة المصدرة</t>
        </is>
      </c>
      <c r="D94" s="151">
        <f>D93+1</f>
        <v/>
      </c>
      <c r="E94" s="80" t="n">
        <v>81</v>
      </c>
      <c r="F94" s="17" t="n"/>
    </row>
    <row r="95" ht="18" customHeight="1">
      <c r="A95" s="18" t="n"/>
      <c r="B95" s="25" t="inlineStr">
        <is>
          <t>التأكد من أن الحجم مناسب للتسليم أو المشاركة.</t>
        </is>
      </c>
      <c r="C95" s="78" t="inlineStr">
        <is>
          <t>مراجعة حجم الملف</t>
        </is>
      </c>
      <c r="D95" s="152">
        <f>D94+1</f>
        <v/>
      </c>
      <c r="E95" s="76" t="n">
        <v>82</v>
      </c>
      <c r="F95" s="17" t="n"/>
    </row>
    <row r="96" ht="18" customHeight="1">
      <c r="A96" s="18" t="n"/>
      <c r="B96" s="22" t="inlineStr">
        <is>
          <t>تقليل الحجم مع الحفاظ على جودة مقبولة.</t>
        </is>
      </c>
      <c r="C96" s="80" t="inlineStr">
        <is>
          <t>ضغط الملف عند الحاجة</t>
        </is>
      </c>
      <c r="D96" s="151">
        <f>D95+1</f>
        <v/>
      </c>
      <c r="E96" s="80" t="n">
        <v>83</v>
      </c>
      <c r="F96" s="17" t="n"/>
    </row>
    <row r="97" ht="18" customHeight="1">
      <c r="A97" s="18" t="n"/>
      <c r="B97" s="25" t="inlineStr">
        <is>
          <t>تصدير النسخة النهائية بالصيغة المطلوبة.</t>
        </is>
      </c>
      <c r="C97" s="78" t="inlineStr">
        <is>
          <t>تجهيز النسخة النهائية</t>
        </is>
      </c>
      <c r="D97" s="152">
        <f>D96+1</f>
        <v/>
      </c>
      <c r="E97" s="76" t="n">
        <v>84</v>
      </c>
      <c r="F97" s="17" t="n"/>
    </row>
    <row r="98" ht="18" customHeight="1">
      <c r="A98" s="18" t="n"/>
      <c r="B98" s="22" t="inlineStr">
        <is>
          <t>حفظ الفيديو النهائي وملفات المشروع الأساسية.</t>
        </is>
      </c>
      <c r="C98" s="80" t="inlineStr">
        <is>
          <t>إنشاء نسخة احتياطية نهائية</t>
        </is>
      </c>
      <c r="D98" s="151">
        <f>D97+1</f>
        <v/>
      </c>
      <c r="E98" s="80" t="n">
        <v>85</v>
      </c>
      <c r="F98" s="17" t="n"/>
    </row>
    <row r="99" ht="18" customHeight="1">
      <c r="A99" s="18" t="n"/>
      <c r="B99" s="25" t="inlineStr">
        <is>
          <t>ترتيب الفيديو والرسومات والصوت والملفات المرجعية.</t>
        </is>
      </c>
      <c r="C99" s="78" t="inlineStr">
        <is>
          <t>تنظيم ملفات التسليم</t>
        </is>
      </c>
      <c r="D99" s="152">
        <f>D98+1</f>
        <v/>
      </c>
      <c r="E99" s="76" t="n">
        <v>86</v>
      </c>
      <c r="F99" s="17" t="n"/>
    </row>
    <row r="100" ht="18" customHeight="1">
      <c r="A100" s="18" t="n"/>
      <c r="B100" s="22" t="inlineStr">
        <is>
          <t>توثيق مسؤولية كل عضو والمخرجات التي أنجزها.</t>
        </is>
      </c>
      <c r="C100" s="80" t="inlineStr">
        <is>
          <t>تجهيز ملخص مساهمات الفريق</t>
        </is>
      </c>
      <c r="D100" s="151">
        <f>D99+1</f>
        <v/>
      </c>
      <c r="E100" s="80" t="n">
        <v>87</v>
      </c>
      <c r="F100" s="17" t="n"/>
    </row>
    <row r="101" ht="18" customHeight="1">
      <c r="A101" s="18" t="n"/>
      <c r="B101" s="25" t="inlineStr">
        <is>
          <t>التأكد من موافقة الفريق على النسخة النهائية.</t>
        </is>
      </c>
      <c r="C101" s="78" t="inlineStr">
        <is>
          <t>مراجعة أخيرة مع الفريق</t>
        </is>
      </c>
      <c r="D101" s="152">
        <f>D100+1</f>
        <v/>
      </c>
      <c r="E101" s="76" t="n">
        <v>88</v>
      </c>
      <c r="F101" s="17" t="n"/>
    </row>
    <row r="102" ht="18" customHeight="1">
      <c r="A102" s="18" t="n"/>
      <c r="B102" s="22" t="inlineStr">
        <is>
          <t>تسليم الفيديو والملفات المطلوبة والاحتفاظ بنسخة احتياطية.</t>
        </is>
      </c>
      <c r="C102" s="80" t="inlineStr">
        <is>
          <t>تسليم المشروع</t>
        </is>
      </c>
      <c r="D102" s="151">
        <f>D101+1</f>
        <v/>
      </c>
      <c r="E102" s="80" t="n">
        <v>89</v>
      </c>
      <c r="F102" s="17" t="n"/>
    </row>
    <row r="103" ht="18.6" customHeight="1" thickBot="1">
      <c r="A103" s="18" t="n"/>
      <c r="B103" s="39" t="inlineStr">
        <is>
          <t>تسجيل ما تم إنجازه والملاحظات المستفادة.</t>
        </is>
      </c>
      <c r="C103" s="105" t="inlineStr">
        <is>
          <t>إغلاق المشروع وتوثيق النتائج</t>
        </is>
      </c>
      <c r="D103" s="153">
        <f>D102+1</f>
        <v/>
      </c>
      <c r="E103" s="41" t="n">
        <v>90</v>
      </c>
      <c r="F103" s="17" t="n"/>
    </row>
    <row r="104" ht="3.6" customFormat="1" customHeight="1" s="2" thickTop="1">
      <c r="A104" s="6" t="n"/>
      <c r="B104" s="5" t="n"/>
      <c r="C104" s="5" t="n"/>
      <c r="D104" s="5" t="n"/>
      <c r="E104" s="5" t="n"/>
      <c r="F104" s="6" t="n"/>
    </row>
  </sheetData>
  <mergeCells count="5">
    <mergeCell ref="B6:E6"/>
    <mergeCell ref="B39:E39"/>
    <mergeCell ref="B72:E72"/>
    <mergeCell ref="B3:E3"/>
    <mergeCell ref="B2:E2"/>
  </mergeCells>
  <conditionalFormatting sqref="E8:E37 E41:E70 E74:E103">
    <cfRule type="dataBar" priority="2">
      <dataBar showValue="0">
        <cfvo type="min"/>
        <cfvo type="max"/>
        <color theme="3" tint="-0.249977111117893"/>
      </dataBar>
    </cfRule>
    <cfRule type="dataBar" priority="1">
      <dataBar showValue="0">
        <cfvo type="min"/>
        <cfvo type="max"/>
        <color theme="3" tint="-0.249977111117893"/>
      </dataBar>
    </cfRule>
  </conditionalFormatting>
  <pageMargins left="0.7" right="0.7" top="0.75" bottom="0.75" header="0.3" footer="0.3"/>
  <pageSetup orientation="landscape" scale="73"/>
  <rowBreaks count="3" manualBreakCount="3">
    <brk id="38" min="0" max="5" man="1"/>
    <brk id="40" min="0" max="16383" man="1"/>
    <brk id="7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tabSelected="1" zoomScaleNormal="100" workbookViewId="0">
      <selection activeCell="I4" sqref="I4"/>
    </sheetView>
  </sheetViews>
  <sheetFormatPr baseColWidth="8" defaultRowHeight="14.4"/>
  <cols>
    <col width="0.6640625" customWidth="1" style="45" min="1" max="1"/>
    <col width="21.5546875" customWidth="1" style="45" min="2" max="2"/>
    <col width="15.21875" customWidth="1" style="45" min="3" max="3"/>
    <col width="46.6640625" customWidth="1" style="45" min="4" max="4"/>
    <col width="63.88671875" customWidth="1" style="45" min="5" max="5"/>
    <col width="0.6640625" customWidth="1" style="45" min="6" max="6"/>
    <col width="8.88671875" customWidth="1" style="45" min="7" max="16384"/>
  </cols>
  <sheetData>
    <row r="1" ht="3.6" customHeight="1">
      <c r="A1" s="5" t="n"/>
      <c r="B1" s="5" t="n"/>
      <c r="C1" s="5" t="n"/>
      <c r="D1" s="5" t="n"/>
      <c r="E1" s="5" t="n"/>
      <c r="F1" s="5" t="n"/>
    </row>
    <row r="2" ht="44.1" customFormat="1" customHeight="1" s="3" thickBot="1">
      <c r="A2" s="19" t="n"/>
      <c r="B2" s="36" t="inlineStr">
        <is>
          <t>Project Name: Hekayat Teta w Gedo (Grandma and Grandpa Stories)</t>
        </is>
      </c>
      <c r="C2" s="134" t="n"/>
      <c r="D2" s="134" t="n"/>
      <c r="E2" s="134" t="n"/>
      <c r="F2" s="19" t="n"/>
    </row>
    <row r="3" ht="24" customHeight="1" thickTop="1">
      <c r="A3" s="19" t="n"/>
      <c r="B3" s="65" t="inlineStr">
        <is>
          <t>A 90-day production plan combining live-action filming, 2D character design and animation, editing, sound, and final delivery.</t>
        </is>
      </c>
      <c r="C3" s="136" t="n"/>
      <c r="D3" s="136" t="n"/>
      <c r="E3" s="136" t="n"/>
      <c r="F3" s="19" t="n"/>
    </row>
    <row r="4" ht="28.5" customFormat="1" customHeight="1" s="3">
      <c r="A4" s="19" t="n"/>
      <c r="B4" s="66" t="inlineStr">
        <is>
          <t>Day</t>
        </is>
      </c>
      <c r="C4" s="66" t="inlineStr">
        <is>
          <t>Date (2025)</t>
        </is>
      </c>
      <c r="D4" s="119" t="inlineStr">
        <is>
          <t>Task(s)</t>
        </is>
      </c>
      <c r="E4" s="67" t="inlineStr">
        <is>
          <t>Notes</t>
        </is>
      </c>
      <c r="F4" s="19" t="n"/>
    </row>
    <row r="5" ht="3.6" customFormat="1" customHeight="1" s="3">
      <c r="A5" s="19" t="n"/>
      <c r="B5" s="68" t="n"/>
      <c r="C5" s="69" t="n"/>
      <c r="D5" s="69" t="n"/>
      <c r="E5" s="70" t="n"/>
      <c r="F5" s="19" t="n"/>
      <c r="H5" s="116" t="n"/>
    </row>
    <row r="6" ht="27.9" customHeight="1">
      <c r="A6" s="19" t="n"/>
      <c r="B6" s="154" t="inlineStr">
        <is>
          <t>Stage 1: Pre-production and Live-Action Filming (Days 1–30)</t>
        </is>
      </c>
      <c r="C6" s="135" t="n"/>
      <c r="D6" s="135" t="n"/>
      <c r="E6" s="155" t="n"/>
      <c r="F6" s="19" t="n"/>
    </row>
    <row r="7" ht="3.6" customHeight="1" thickBot="1">
      <c r="A7" s="19" t="n"/>
      <c r="B7" s="117" t="n"/>
      <c r="C7" s="32" t="n"/>
      <c r="D7" s="34" t="n"/>
      <c r="E7" s="118" t="n"/>
      <c r="F7" s="19" t="n"/>
    </row>
    <row r="8" ht="18.6" customHeight="1" thickTop="1">
      <c r="A8" s="18" t="n"/>
      <c r="B8" s="74" t="n">
        <v>1</v>
      </c>
      <c r="C8" s="156">
        <f>DATE(2025,9,1)</f>
        <v/>
      </c>
      <c r="D8" s="104" t="inlineStr">
        <is>
          <t>Define project scope and deliverables</t>
        </is>
      </c>
      <c r="E8" s="120" t="inlineStr">
        <is>
          <t>Confirm target duration, delivery format, and required version.</t>
        </is>
      </c>
      <c r="F8" s="19" t="n"/>
      <c r="G8" s="45" t="n"/>
    </row>
    <row r="9" ht="18" customHeight="1">
      <c r="A9" s="18" t="n"/>
      <c r="B9" s="76" t="n">
        <v>2</v>
      </c>
      <c r="C9" s="157">
        <f>C8+1</f>
        <v/>
      </c>
      <c r="D9" s="78" t="inlineStr">
        <is>
          <t>Review the project concept</t>
        </is>
      </c>
      <c r="E9" s="121" t="inlineStr">
        <is>
          <t>Clarify the story idea and its main message.</t>
        </is>
      </c>
      <c r="F9" s="19" t="n"/>
    </row>
    <row r="10" ht="18" customHeight="1">
      <c r="A10" s="18" t="n"/>
      <c r="B10" s="80" t="n">
        <v>3</v>
      </c>
      <c r="C10" s="158">
        <f>C9+1</f>
        <v/>
      </c>
      <c r="D10" s="80" t="inlineStr">
        <is>
          <t>Review and break down the script</t>
        </is>
      </c>
      <c r="E10" s="122" t="inlineStr">
        <is>
          <t>Separate the live-action home scenes from animated story scenes.</t>
        </is>
      </c>
      <c r="F10" s="19" t="n"/>
    </row>
    <row r="11" ht="18" customHeight="1">
      <c r="A11" s="18" t="n"/>
      <c r="B11" s="76" t="n">
        <v>4</v>
      </c>
      <c r="C11" s="157">
        <f>C10+1</f>
        <v/>
      </c>
      <c r="D11" s="78" t="inlineStr">
        <is>
          <t>List characters and their roles</t>
        </is>
      </c>
      <c r="E11" s="121" t="inlineStr">
        <is>
          <t>Identify live-action and animated characters and their needs.</t>
        </is>
      </c>
      <c r="F11" s="19" t="n"/>
    </row>
    <row r="12" ht="18" customHeight="1">
      <c r="A12" s="18" t="n"/>
      <c r="B12" s="80" t="n">
        <v>5</v>
      </c>
      <c r="C12" s="158">
        <f>C11+1</f>
        <v/>
      </c>
      <c r="D12" s="80" t="inlineStr">
        <is>
          <t>Create a scene list</t>
        </is>
      </c>
      <c r="E12" s="122" t="inlineStr">
        <is>
          <t>Number scenes and identify location and scene type.</t>
        </is>
      </c>
      <c r="F12" s="19" t="n"/>
    </row>
    <row r="13" ht="18" customHeight="1">
      <c r="A13" s="18" t="n"/>
      <c r="B13" s="76" t="n">
        <v>6</v>
      </c>
      <c r="C13" s="157">
        <f>C12+1</f>
        <v/>
      </c>
      <c r="D13" s="78" t="inlineStr">
        <is>
          <t>Review the storyboard</t>
        </is>
      </c>
      <c r="E13" s="121" t="inlineStr">
        <is>
          <t>Review shot sequence with Rowan and identify revisions.</t>
        </is>
      </c>
      <c r="F13" s="19" t="n"/>
    </row>
    <row r="14" ht="18" customHeight="1">
      <c r="A14" s="18" t="n"/>
      <c r="B14" s="80" t="n">
        <v>7</v>
      </c>
      <c r="C14" s="158">
        <f>C13+1</f>
        <v/>
      </c>
      <c r="D14" s="80" t="inlineStr">
        <is>
          <t>Define the animation style</t>
        </is>
      </c>
      <c r="E14" s="122" t="inlineStr">
        <is>
          <t>Align character appearance, colors, and movement style.</t>
        </is>
      </c>
      <c r="F14" s="19" t="n"/>
    </row>
    <row r="15" ht="18" customHeight="1">
      <c r="A15" s="18" t="n"/>
      <c r="B15" s="76" t="n">
        <v>8</v>
      </c>
      <c r="C15" s="157">
        <f>C14+1</f>
        <v/>
      </c>
      <c r="D15" s="78" t="inlineStr">
        <is>
          <t>Collect visual references</t>
        </is>
      </c>
      <c r="E15" s="121" t="inlineStr">
        <is>
          <t>Gather references for clothing, expressions, and poses.</t>
        </is>
      </c>
      <c r="F15" s="19" t="n"/>
    </row>
    <row r="16" ht="18" customHeight="1">
      <c r="A16" s="18" t="n"/>
      <c r="B16" s="80" t="n">
        <v>9</v>
      </c>
      <c r="C16" s="158">
        <f>C15+1</f>
        <v/>
      </c>
      <c r="D16" s="80" t="inlineStr">
        <is>
          <t>Prepare the live-action shoot plan</t>
        </is>
      </c>
      <c r="E16" s="122" t="inlineStr">
        <is>
          <t>List scenes, performers, location, and equipment.</t>
        </is>
      </c>
      <c r="F16" s="19" t="n"/>
    </row>
    <row r="17" ht="18" customHeight="1">
      <c r="A17" s="18" t="n"/>
      <c r="B17" s="76" t="n">
        <v>10</v>
      </c>
      <c r="C17" s="157">
        <f>C16+1</f>
        <v/>
      </c>
      <c r="D17" s="78" t="inlineStr">
        <is>
          <t>Prepare an equipment checklist</t>
        </is>
      </c>
      <c r="E17" s="121" t="inlineStr">
        <is>
          <t>Check camera/phone, lighting, audio, and tripod.</t>
        </is>
      </c>
      <c r="F17" s="19" t="n"/>
    </row>
    <row r="18" ht="18" customHeight="1">
      <c r="A18" s="18" t="n"/>
      <c r="B18" s="80" t="n">
        <v>11</v>
      </c>
      <c r="C18" s="158">
        <f>C17+1</f>
        <v/>
      </c>
      <c r="D18" s="80" t="inlineStr">
        <is>
          <t>Assign team responsibilities</t>
        </is>
      </c>
      <c r="E18" s="122" t="inlineStr">
        <is>
          <t>Set task ownership and internal deadlines.</t>
        </is>
      </c>
      <c r="F18" s="19" t="n"/>
    </row>
    <row r="19" ht="18" customHeight="1">
      <c r="A19" s="18" t="n"/>
      <c r="B19" s="76" t="n">
        <v>12</v>
      </c>
      <c r="C19" s="157">
        <f>C18+1</f>
        <v/>
      </c>
      <c r="D19" s="78" t="inlineStr">
        <is>
          <t>Organize project folders</t>
        </is>
      </c>
      <c r="E19" s="121" t="inlineStr">
        <is>
          <t>Set naming rules for footage, artwork, and project files.</t>
        </is>
      </c>
      <c r="F19" s="19" t="n"/>
    </row>
    <row r="20" ht="18" customHeight="1">
      <c r="A20" s="18" t="n"/>
      <c r="B20" s="80" t="n">
        <v>13</v>
      </c>
      <c r="C20" s="158">
        <f>C19+1</f>
        <v/>
      </c>
      <c r="D20" s="80" t="inlineStr">
        <is>
          <t>Prepare a shooting script</t>
        </is>
      </c>
      <c r="E20" s="122" t="inlineStr">
        <is>
          <t>Add scene and shot numbers plus performance notes.</t>
        </is>
      </c>
      <c r="F20" s="19" t="n"/>
    </row>
    <row r="21" ht="18" customHeight="1">
      <c r="A21" s="18" t="n"/>
      <c r="B21" s="76" t="n">
        <v>14</v>
      </c>
      <c r="C21" s="157">
        <f>C20+1</f>
        <v/>
      </c>
      <c r="D21" s="78" t="inlineStr">
        <is>
          <t>List audio requirements</t>
        </is>
      </c>
      <c r="E21" s="121" t="inlineStr">
        <is>
          <t>Identify dialogue, music, sound effects, and required voices.</t>
        </is>
      </c>
      <c r="F21" s="19" t="n"/>
    </row>
    <row r="22" ht="18" customHeight="1">
      <c r="A22" s="18" t="n"/>
      <c r="B22" s="80" t="n">
        <v>15</v>
      </c>
      <c r="C22" s="158">
        <f>C21+1</f>
        <v/>
      </c>
      <c r="D22" s="80" t="inlineStr">
        <is>
          <t>Identify suitable AI-assisted tasks</t>
        </is>
      </c>
      <c r="E22" s="122" t="inlineStr">
        <is>
          <t>Select support tasks for AI tools and plan human review.</t>
        </is>
      </c>
      <c r="F22" s="19" t="n"/>
    </row>
    <row r="23" ht="18" customHeight="1">
      <c r="A23" s="18" t="n"/>
      <c r="B23" s="76" t="n">
        <v>16</v>
      </c>
      <c r="C23" s="157">
        <f>C22+1</f>
        <v/>
      </c>
      <c r="D23" s="78" t="inlineStr">
        <is>
          <t>Prepare a shot list</t>
        </is>
      </c>
      <c r="E23" s="121" t="inlineStr">
        <is>
          <t>Define shot sizes, camera angles, and actor movement.</t>
        </is>
      </c>
      <c r="F23" s="19" t="n"/>
    </row>
    <row r="24" ht="18" customHeight="1">
      <c r="A24" s="18" t="n"/>
      <c r="B24" s="80" t="n">
        <v>17</v>
      </c>
      <c r="C24" s="158">
        <f>C23+1</f>
        <v/>
      </c>
      <c r="D24" s="80" t="inlineStr">
        <is>
          <t>Check the filming location</t>
        </is>
      </c>
      <c r="E24" s="122" t="inlineStr">
        <is>
          <t>Test background, lighting, and visual distractions.</t>
        </is>
      </c>
      <c r="F24" s="19" t="n"/>
    </row>
    <row r="25" ht="18" customHeight="1">
      <c r="A25" s="18" t="n"/>
      <c r="B25" s="76" t="n">
        <v>18</v>
      </c>
      <c r="C25" s="157">
        <f>C24+1</f>
        <v/>
      </c>
      <c r="D25" s="78" t="inlineStr">
        <is>
          <t>Record a short camera test</t>
        </is>
      </c>
      <c r="E25" s="121" t="inlineStr">
        <is>
          <t>Capture a test shot and check picture and sound.</t>
        </is>
      </c>
      <c r="F25" s="19" t="n"/>
    </row>
    <row r="26" ht="18" customHeight="1">
      <c r="A26" s="18" t="n"/>
      <c r="B26" s="80" t="n">
        <v>19</v>
      </c>
      <c r="C26" s="158">
        <f>C25+1</f>
        <v/>
      </c>
      <c r="D26" s="80" t="inlineStr">
        <is>
          <t>Review the camera test</t>
        </is>
      </c>
      <c r="E26" s="122" t="inlineStr">
        <is>
          <t>Note changes needed to lighting or camera angle.</t>
        </is>
      </c>
      <c r="F26" s="19" t="n"/>
    </row>
    <row r="27" ht="18" customHeight="1">
      <c r="A27" s="18" t="n"/>
      <c r="B27" s="76" t="n">
        <v>20</v>
      </c>
      <c r="C27" s="157">
        <f>C26+1</f>
        <v/>
      </c>
      <c r="D27" s="78" t="inlineStr">
        <is>
          <t>Approve pre-production readiness</t>
        </is>
      </c>
      <c r="E27" s="121" t="inlineStr">
        <is>
          <t>Confirm script, storyboard, and shoot schedule.</t>
        </is>
      </c>
      <c r="F27" s="19" t="n"/>
    </row>
    <row r="28" ht="18" customHeight="1">
      <c r="A28" s="18" t="n"/>
      <c r="B28" s="80" t="n">
        <v>21</v>
      </c>
      <c r="C28" s="158">
        <f>C27+1</f>
        <v/>
      </c>
      <c r="D28" s="80" t="inlineStr">
        <is>
          <t>Begin filming home scenes</t>
        </is>
      </c>
      <c r="E28" s="122" t="inlineStr">
        <is>
          <t>Film the first group of Grandma and Grandpa scenes.</t>
        </is>
      </c>
      <c r="F28" s="19" t="n"/>
    </row>
    <row r="29" ht="18" customHeight="1">
      <c r="A29" s="18" t="n"/>
      <c r="B29" s="76" t="n">
        <v>22</v>
      </c>
      <c r="C29" s="157">
        <f>C28+1</f>
        <v/>
      </c>
      <c r="D29" s="78" t="inlineStr">
        <is>
          <t>Film dialogue shots</t>
        </is>
      </c>
      <c r="E29" s="121" t="inlineStr">
        <is>
          <t>Record dialogue and allow time for retakes.</t>
        </is>
      </c>
      <c r="F29" s="19" t="n"/>
    </row>
    <row r="30" ht="18" customHeight="1">
      <c r="A30" s="18" t="n"/>
      <c r="B30" s="80" t="n">
        <v>23</v>
      </c>
      <c r="C30" s="158">
        <f>C29+1</f>
        <v/>
      </c>
      <c r="D30" s="80" t="inlineStr">
        <is>
          <t>Capture reactions and inserts</t>
        </is>
      </c>
      <c r="E30" s="122" t="inlineStr">
        <is>
          <t>Record close-ups and supporting details for editing.</t>
        </is>
      </c>
      <c r="F30" s="19" t="n"/>
    </row>
    <row r="31" ht="18" customHeight="1">
      <c r="A31" s="18" t="n"/>
      <c r="B31" s="76" t="n">
        <v>24</v>
      </c>
      <c r="C31" s="157">
        <f>C30+1</f>
        <v/>
      </c>
      <c r="D31" s="78" t="inlineStr">
        <is>
          <t>Check picture and sound quality</t>
        </is>
      </c>
      <c r="E31" s="121" t="inlineStr">
        <is>
          <t>Ensure dialogue is clear and lighting is consistent.</t>
        </is>
      </c>
      <c r="F31" s="19" t="n"/>
    </row>
    <row r="32" ht="18" customHeight="1">
      <c r="A32" s="18" t="n"/>
      <c r="B32" s="80" t="n">
        <v>25</v>
      </c>
      <c r="C32" s="158">
        <f>C31+1</f>
        <v/>
      </c>
      <c r="D32" s="80" t="inlineStr">
        <is>
          <t>Reshoot missing or unclear shots</t>
        </is>
      </c>
      <c r="E32" s="122" t="inlineStr">
        <is>
          <t>Complete shots that are unclear or incomplete.</t>
        </is>
      </c>
      <c r="F32" s="19" t="n"/>
    </row>
    <row r="33" ht="18" customHeight="1">
      <c r="A33" s="18" t="n"/>
      <c r="B33" s="76" t="n">
        <v>26</v>
      </c>
      <c r="C33" s="157">
        <f>C32+1</f>
        <v/>
      </c>
      <c r="D33" s="78" t="inlineStr">
        <is>
          <t>Back up the footage</t>
        </is>
      </c>
      <c r="E33" s="121" t="inlineStr">
        <is>
          <t>Keep a second copy of all recorded material.</t>
        </is>
      </c>
      <c r="F33" s="19" t="n"/>
    </row>
    <row r="34" ht="18" customHeight="1">
      <c r="A34" s="18" t="n"/>
      <c r="B34" s="80" t="n">
        <v>27</v>
      </c>
      <c r="C34" s="158">
        <f>C33+1</f>
        <v/>
      </c>
      <c r="D34" s="80" t="inlineStr">
        <is>
          <t>Sort and label footage</t>
        </is>
      </c>
      <c r="E34" s="122" t="inlineStr">
        <is>
          <t>Organize clips by scene and shot.</t>
        </is>
      </c>
      <c r="F34" s="19" t="n"/>
    </row>
    <row r="35" ht="18" customHeight="1">
      <c r="A35" s="18" t="n"/>
      <c r="B35" s="76" t="n">
        <v>28</v>
      </c>
      <c r="C35" s="157">
        <f>C34+1</f>
        <v/>
      </c>
      <c r="D35" s="78" t="inlineStr">
        <is>
          <t>Select the best takes</t>
        </is>
      </c>
      <c r="E35" s="121" t="inlineStr">
        <is>
          <t>Mark footage suitable for the rough cut.</t>
        </is>
      </c>
      <c r="F35" s="19" t="n"/>
    </row>
    <row r="36" ht="18" customHeight="1">
      <c r="A36" s="18" t="n"/>
      <c r="B36" s="80" t="n">
        <v>29</v>
      </c>
      <c r="C36" s="158">
        <f>C35+1</f>
        <v/>
      </c>
      <c r="D36" s="80" t="inlineStr">
        <is>
          <t>Create a rough assembly of live-action scenes</t>
        </is>
      </c>
      <c r="E36" s="122" t="inlineStr">
        <is>
          <t>Arrange selected clips in script order.</t>
        </is>
      </c>
      <c r="F36" s="19" t="n"/>
    </row>
    <row r="37" ht="18.6" customHeight="1" thickBot="1">
      <c r="A37" s="18" t="n"/>
      <c r="B37" s="76" t="n">
        <v>30</v>
      </c>
      <c r="C37" s="157">
        <f>C36+1</f>
        <v/>
      </c>
      <c r="D37" s="105" t="inlineStr">
        <is>
          <t>Check live-action coverage</t>
        </is>
      </c>
      <c r="E37" s="123" t="inlineStr">
        <is>
          <t>List any missing scenes or details.</t>
        </is>
      </c>
      <c r="F37" s="19" t="n"/>
    </row>
    <row r="38" ht="3.6" customHeight="1" thickTop="1">
      <c r="A38" s="19" t="n"/>
      <c r="B38" s="83" t="n"/>
      <c r="C38" s="84" t="n"/>
      <c r="D38" s="103" t="n"/>
      <c r="E38" s="106" t="n"/>
      <c r="F38" s="19" t="n"/>
    </row>
    <row r="39" ht="31.2" customHeight="1">
      <c r="A39" s="19" t="n"/>
      <c r="B39" s="159" t="inlineStr">
        <is>
          <t>Stage 2: Character Art, Animation, and Rough Editing (Days 31–60)</t>
        </is>
      </c>
      <c r="C39" s="160" t="n"/>
      <c r="D39" s="160" t="n"/>
      <c r="E39" s="161" t="n"/>
      <c r="F39" s="19" t="n"/>
      <c r="G39" s="45" t="n"/>
    </row>
    <row r="40" ht="3.6" customHeight="1" thickBot="1">
      <c r="A40" s="19" t="n"/>
      <c r="B40" s="71" t="n"/>
      <c r="C40" s="72" t="n"/>
      <c r="D40" s="73" t="n"/>
      <c r="E40" s="85" t="n"/>
      <c r="F40" s="19" t="n"/>
    </row>
    <row r="41" ht="18.6" customHeight="1" thickTop="1">
      <c r="A41" s="18" t="n"/>
      <c r="B41" s="86" t="n">
        <v>31</v>
      </c>
      <c r="C41" s="162">
        <f>DATE(2025,10,1)</f>
        <v/>
      </c>
      <c r="D41" s="86" t="inlineStr">
        <is>
          <t>Complete character designs</t>
        </is>
      </c>
      <c r="E41" s="107" t="inlineStr">
        <is>
          <t>Review final artwork for the main characters.</t>
        </is>
      </c>
      <c r="F41" s="17" t="n"/>
    </row>
    <row r="42" ht="18" customHeight="1">
      <c r="A42" s="18" t="n"/>
      <c r="B42" s="80" t="n">
        <v>32</v>
      </c>
      <c r="C42" s="158">
        <f>C41+1</f>
        <v/>
      </c>
      <c r="D42" s="88" t="inlineStr">
        <is>
          <t>Draw facial expressions</t>
        </is>
      </c>
      <c r="E42" s="108" t="inlineStr">
        <is>
          <t>Prepare expressions needed for dialogue and emotion.</t>
        </is>
      </c>
      <c r="F42" s="17" t="n"/>
    </row>
    <row r="43" ht="18" customHeight="1">
      <c r="A43" s="18" t="n"/>
      <c r="B43" s="76" t="n">
        <v>33</v>
      </c>
      <c r="C43" s="157">
        <f>C42+1</f>
        <v/>
      </c>
      <c r="D43" s="109" t="inlineStr">
        <is>
          <t>Draw character poses</t>
        </is>
      </c>
      <c r="E43" s="90" t="inlineStr">
        <is>
          <t>Prepare poses required by each scene.</t>
        </is>
      </c>
      <c r="F43" s="17" t="n"/>
    </row>
    <row r="44" ht="18" customHeight="1">
      <c r="A44" s="18" t="n"/>
      <c r="B44" s="80" t="n">
        <v>34</v>
      </c>
      <c r="C44" s="158">
        <f>C43+1</f>
        <v/>
      </c>
      <c r="D44" s="110" t="inlineStr">
        <is>
          <t>Check character consistency</t>
        </is>
      </c>
      <c r="E44" s="89" t="inlineStr">
        <is>
          <t>Keep features and proportions consistent across drawings.</t>
        </is>
      </c>
      <c r="F44" s="17" t="n"/>
    </row>
    <row r="45" ht="18" customHeight="1">
      <c r="A45" s="18" t="n"/>
      <c r="B45" s="76" t="n">
        <v>35</v>
      </c>
      <c r="C45" s="157">
        <f>C44+1</f>
        <v/>
      </c>
      <c r="D45" s="109" t="inlineStr">
        <is>
          <t>Prepare artwork for animation</t>
        </is>
      </c>
      <c r="E45" s="90" t="inlineStr">
        <is>
          <t>Separate and organize layers where needed.</t>
        </is>
      </c>
      <c r="F45" s="17" t="n"/>
    </row>
    <row r="46" ht="18" customHeight="1">
      <c r="A46" s="18" t="n"/>
      <c r="B46" s="80" t="n">
        <v>36</v>
      </c>
      <c r="C46" s="158">
        <f>C45+1</f>
        <v/>
      </c>
      <c r="D46" s="110" t="inlineStr">
        <is>
          <t>Prepare scene backgrounds</t>
        </is>
      </c>
      <c r="E46" s="89" t="inlineStr">
        <is>
          <t>Create backgrounds matching the storyboard.</t>
        </is>
      </c>
      <c r="F46" s="17" t="n"/>
    </row>
    <row r="47" ht="18" customHeight="1">
      <c r="A47" s="18" t="n"/>
      <c r="B47" s="76" t="n">
        <v>37</v>
      </c>
      <c r="C47" s="157">
        <f>C46+1</f>
        <v/>
      </c>
      <c r="D47" s="109" t="inlineStr">
        <is>
          <t>Define motion for each animated shot</t>
        </is>
      </c>
      <c r="E47" s="90" t="inlineStr">
        <is>
          <t>Specify movement start, end, and timing.</t>
        </is>
      </c>
      <c r="F47" s="17" t="n"/>
    </row>
    <row r="48" ht="18" customHeight="1">
      <c r="A48" s="18" t="n"/>
      <c r="B48" s="80" t="n">
        <v>38</v>
      </c>
      <c r="C48" s="158">
        <f>C47+1</f>
        <v/>
      </c>
      <c r="D48" s="110" t="inlineStr">
        <is>
          <t>Create an animation test</t>
        </is>
      </c>
      <c r="E48" s="124" t="inlineStr">
        <is>
          <t>Animate a short shot to test the chosen style.</t>
        </is>
      </c>
      <c r="F48" s="19" t="n"/>
    </row>
    <row r="49" ht="18" customHeight="1">
      <c r="A49" s="18" t="n"/>
      <c r="B49" s="76" t="n">
        <v>39</v>
      </c>
      <c r="C49" s="157">
        <f>C48+1</f>
        <v/>
      </c>
      <c r="D49" s="109" t="inlineStr">
        <is>
          <t>Review the animation test</t>
        </is>
      </c>
      <c r="E49" s="90" t="inlineStr">
        <is>
          <t>Note timing, expression, and smoothness changes.</t>
        </is>
      </c>
      <c r="F49" s="17" t="n"/>
    </row>
    <row r="50" ht="18" customHeight="1">
      <c r="A50" s="18" t="n"/>
      <c r="B50" s="80" t="n">
        <v>40</v>
      </c>
      <c r="C50" s="158">
        <f>C49+1</f>
        <v/>
      </c>
      <c r="D50" s="110" t="inlineStr">
        <is>
          <t>Animate key scenes</t>
        </is>
      </c>
      <c r="E50" s="89" t="inlineStr">
        <is>
          <t>Prioritize and animate the main story scenes.</t>
        </is>
      </c>
      <c r="F50" s="17" t="n"/>
    </row>
    <row r="51" ht="18" customHeight="1">
      <c r="A51" s="18" t="n"/>
      <c r="B51" s="76" t="n">
        <v>41</v>
      </c>
      <c r="C51" s="157">
        <f>C50+1</f>
        <v/>
      </c>
      <c r="D51" s="109" t="inlineStr">
        <is>
          <t>Animate face and body movement</t>
        </is>
      </c>
      <c r="E51" s="90" t="inlineStr">
        <is>
          <t>Create the required dialogue and reaction movements.</t>
        </is>
      </c>
      <c r="F51" s="17" t="n"/>
    </row>
    <row r="52" ht="18" customHeight="1">
      <c r="A52" s="18" t="n"/>
      <c r="B52" s="80" t="n">
        <v>42</v>
      </c>
      <c r="C52" s="158">
        <f>C51+1</f>
        <v/>
      </c>
      <c r="D52" s="110" t="inlineStr">
        <is>
          <t>Create scene transitions</t>
        </is>
      </c>
      <c r="E52" s="89" t="inlineStr">
        <is>
          <t>Prepare visual transitions where needed.</t>
        </is>
      </c>
      <c r="F52" s="17" t="n"/>
    </row>
    <row r="53" ht="18" customHeight="1">
      <c r="A53" s="18" t="n"/>
      <c r="B53" s="76" t="n">
        <v>43</v>
      </c>
      <c r="C53" s="157">
        <f>C52+1</f>
        <v/>
      </c>
      <c r="D53" s="109" t="inlineStr">
        <is>
          <t>Check animation timing against dialogue</t>
        </is>
      </c>
      <c r="E53" s="90" t="inlineStr">
        <is>
          <t>Adjust synchronization where applicable.</t>
        </is>
      </c>
      <c r="F53" s="17" t="n"/>
    </row>
    <row r="54" ht="18" customHeight="1">
      <c r="A54" s="18" t="n"/>
      <c r="B54" s="80" t="n">
        <v>44</v>
      </c>
      <c r="C54" s="158">
        <f>C53+1</f>
        <v/>
      </c>
      <c r="D54" s="110" t="inlineStr">
        <is>
          <t>Continue animating remaining scenes</t>
        </is>
      </c>
      <c r="E54" s="89" t="inlineStr">
        <is>
          <t>Complete the remaining planned animated shots.</t>
        </is>
      </c>
      <c r="F54" s="17" t="n"/>
    </row>
    <row r="55" ht="18" customHeight="1">
      <c r="A55" s="18" t="n"/>
      <c r="B55" s="76" t="n">
        <v>45</v>
      </c>
      <c r="C55" s="157">
        <f>C54+1</f>
        <v/>
      </c>
      <c r="D55" s="109" t="inlineStr">
        <is>
          <t>Review animation quality</t>
        </is>
      </c>
      <c r="E55" s="90" t="inlineStr">
        <is>
          <t>Check line consistency, colors, and movement continuity.</t>
        </is>
      </c>
      <c r="F55" s="17" t="n"/>
    </row>
    <row r="56" ht="18" customHeight="1">
      <c r="A56" s="18" t="n"/>
      <c r="B56" s="80" t="n">
        <v>46</v>
      </c>
      <c r="C56" s="158">
        <f>C55+1</f>
        <v/>
      </c>
      <c r="D56" s="110" t="inlineStr">
        <is>
          <t>Use AI tools for support where appropriate</t>
        </is>
      </c>
      <c r="E56" s="89" t="inlineStr">
        <is>
          <t>Test AI only for suitable assisting tasks and review results manually.</t>
        </is>
      </c>
      <c r="F56" s="17" t="n"/>
    </row>
    <row r="57" ht="18" customHeight="1">
      <c r="A57" s="18" t="n"/>
      <c r="B57" s="76" t="n">
        <v>47</v>
      </c>
      <c r="C57" s="157">
        <f>C56+1</f>
        <v/>
      </c>
      <c r="D57" s="109" t="inlineStr">
        <is>
          <t>Clean up supporting assets</t>
        </is>
      </c>
      <c r="E57" s="90" t="inlineStr">
        <is>
          <t>Correct visual issues in approved supporting elements.</t>
        </is>
      </c>
      <c r="F57" s="17" t="n"/>
      <c r="I57" s="45" t="n"/>
    </row>
    <row r="58" ht="18" customHeight="1">
      <c r="A58" s="18" t="n"/>
      <c r="B58" s="80" t="n">
        <v>48</v>
      </c>
      <c r="C58" s="158">
        <f>C57+1</f>
        <v/>
      </c>
      <c r="D58" s="110" t="inlineStr">
        <is>
          <t>Create the opening title</t>
        </is>
      </c>
      <c r="E58" s="89" t="inlineStr">
        <is>
          <t>Prepare the project title and opening credits.</t>
        </is>
      </c>
      <c r="F58" s="17" t="n"/>
    </row>
    <row r="59" ht="18" customHeight="1">
      <c r="A59" s="18" t="n"/>
      <c r="B59" s="76" t="n">
        <v>49</v>
      </c>
      <c r="C59" s="157">
        <f>C58+1</f>
        <v/>
      </c>
      <c r="D59" s="109" t="inlineStr">
        <is>
          <t>Create end credits and acknowledgements</t>
        </is>
      </c>
      <c r="E59" s="90" t="inlineStr">
        <is>
          <t>Prepare accurate team names and credits.</t>
        </is>
      </c>
      <c r="F59" s="17" t="n"/>
    </row>
    <row r="60" ht="18" customHeight="1">
      <c r="A60" s="18" t="n"/>
      <c r="B60" s="80" t="n">
        <v>50</v>
      </c>
      <c r="C60" s="158">
        <f>C59+1</f>
        <v/>
      </c>
      <c r="D60" s="110" t="inlineStr">
        <is>
          <t>Prepare initial audio assets</t>
        </is>
      </c>
      <c r="E60" s="89" t="inlineStr">
        <is>
          <t>Collect dialogue, music, and usable sound effects.</t>
        </is>
      </c>
      <c r="F60" s="17" t="n"/>
    </row>
    <row r="61" ht="18" customHeight="1">
      <c r="A61" s="18" t="n"/>
      <c r="B61" s="76" t="n">
        <v>51</v>
      </c>
      <c r="C61" s="157">
        <f>C60+1</f>
        <v/>
      </c>
      <c r="D61" s="109" t="inlineStr">
        <is>
          <t>Clean dialogue audio if needed</t>
        </is>
      </c>
      <c r="E61" s="90" t="inlineStr">
        <is>
          <t>Reduce noise while keeping voices natural.</t>
        </is>
      </c>
      <c r="F61" s="17" t="n"/>
    </row>
    <row r="62" ht="18" customHeight="1">
      <c r="A62" s="18" t="n"/>
      <c r="B62" s="80" t="n">
        <v>52</v>
      </c>
      <c r="C62" s="158">
        <f>C61+1</f>
        <v/>
      </c>
      <c r="D62" s="110" t="inlineStr">
        <is>
          <t>Organize final animation files</t>
        </is>
      </c>
      <c r="E62" s="89" t="inlineStr">
        <is>
          <t>Label versions and track completed and pending scenes.</t>
        </is>
      </c>
      <c r="F62" s="17" t="n"/>
    </row>
    <row r="63" ht="18" customHeight="1">
      <c r="A63" s="18" t="n"/>
      <c r="B63" s="76" t="n">
        <v>53</v>
      </c>
      <c r="C63" s="157">
        <f>C62+1</f>
        <v/>
      </c>
      <c r="D63" s="109" t="inlineStr">
        <is>
          <t>Export animated scenes</t>
        </is>
      </c>
      <c r="E63" s="90" t="inlineStr">
        <is>
          <t>Export shots in formats suitable for editing.</t>
        </is>
      </c>
      <c r="F63" s="17" t="n"/>
    </row>
    <row r="64" ht="18" customHeight="1">
      <c r="A64" s="18" t="n"/>
      <c r="B64" s="80" t="n">
        <v>54</v>
      </c>
      <c r="C64" s="158">
        <f>C63+1</f>
        <v/>
      </c>
      <c r="D64" s="110" t="inlineStr">
        <is>
          <t>Sync animation with live-action footage</t>
        </is>
      </c>
      <c r="E64" s="89" t="inlineStr">
        <is>
          <t>Test scene order and integration points.</t>
        </is>
      </c>
      <c r="F64" s="17" t="n"/>
    </row>
    <row r="65" ht="18" customHeight="1">
      <c r="A65" s="18" t="n"/>
      <c r="B65" s="76" t="n">
        <v>55</v>
      </c>
      <c r="C65" s="157">
        <f>C64+1</f>
        <v/>
      </c>
      <c r="D65" s="109" t="inlineStr">
        <is>
          <t>Start the rough cut</t>
        </is>
      </c>
      <c r="E65" s="90" t="inlineStr">
        <is>
          <t>Arrange live-action and animated scenes according to the script.</t>
        </is>
      </c>
      <c r="F65" s="17" t="n"/>
    </row>
    <row r="66" ht="18" customHeight="1">
      <c r="A66" s="18" t="n"/>
      <c r="B66" s="80" t="n">
        <v>56</v>
      </c>
      <c r="C66" s="158">
        <f>C65+1</f>
        <v/>
      </c>
      <c r="D66" s="110" t="inlineStr">
        <is>
          <t>Refine pacing and transitions</t>
        </is>
      </c>
      <c r="E66" s="89" t="inlineStr">
        <is>
          <t>Improve cuts and transitions between the two visual worlds.</t>
        </is>
      </c>
      <c r="F66" s="17" t="n"/>
    </row>
    <row r="67" ht="18" customHeight="1">
      <c r="A67" s="18" t="n"/>
      <c r="B67" s="76" t="n">
        <v>57</v>
      </c>
      <c r="C67" s="157">
        <f>C66+1</f>
        <v/>
      </c>
      <c r="D67" s="109" t="inlineStr">
        <is>
          <t>Combine live action and animation</t>
        </is>
      </c>
      <c r="E67" s="90" t="inlineStr">
        <is>
          <t>Check visual consistency across scene types.</t>
        </is>
      </c>
      <c r="F67" s="17" t="n"/>
    </row>
    <row r="68" ht="18" customHeight="1">
      <c r="A68" s="18" t="n"/>
      <c r="B68" s="80" t="n">
        <v>58</v>
      </c>
      <c r="C68" s="158">
        <f>C67+1</f>
        <v/>
      </c>
      <c r="D68" s="110" t="inlineStr">
        <is>
          <t>Add dialogue, music, and sound effects</t>
        </is>
      </c>
      <c r="E68" s="89" t="inlineStr">
        <is>
          <t>Balance audio levels and timing.</t>
        </is>
      </c>
      <c r="F68" s="17" t="n"/>
    </row>
    <row r="69" ht="18" customHeight="1">
      <c r="A69" s="18" t="n"/>
      <c r="B69" s="76" t="n">
        <v>59</v>
      </c>
      <c r="C69" s="157">
        <f>C68+1</f>
        <v/>
      </c>
      <c r="D69" s="109" t="inlineStr">
        <is>
          <t>Review the first assembled version</t>
        </is>
      </c>
      <c r="E69" s="90" t="inlineStr">
        <is>
          <t>Watch a rough version and record team feedback.</t>
        </is>
      </c>
      <c r="F69" s="17" t="n"/>
    </row>
    <row r="70" ht="18.6" customHeight="1" thickBot="1">
      <c r="A70" s="18" t="n"/>
      <c r="B70" s="80" t="n">
        <v>60</v>
      </c>
      <c r="C70" s="158">
        <f>C69+1</f>
        <v/>
      </c>
      <c r="D70" s="111" t="inlineStr">
        <is>
          <t>Create a revision list</t>
        </is>
      </c>
      <c r="E70" s="89" t="inlineStr">
        <is>
          <t>Group notes by scene, priority, and owner.</t>
        </is>
      </c>
      <c r="F70" s="17" t="n"/>
    </row>
    <row r="71" ht="3.6" customHeight="1" thickTop="1">
      <c r="A71" s="19" t="n"/>
      <c r="B71" s="91" t="n"/>
      <c r="C71" s="91" t="n"/>
      <c r="D71" s="91" t="n"/>
      <c r="E71" s="92" t="n"/>
      <c r="F71" s="19" t="n"/>
    </row>
    <row r="72" ht="33.6" customHeight="1">
      <c r="A72" s="19" t="n"/>
      <c r="B72" s="163" t="inlineStr">
        <is>
          <t>Stage 3: Review, Revisions, and Final Delivery (Days 61–90)</t>
        </is>
      </c>
      <c r="C72" s="135" t="n"/>
      <c r="D72" s="135" t="n"/>
      <c r="E72" s="164" t="n"/>
      <c r="F72" s="19" t="n"/>
    </row>
    <row r="73" ht="3.6" customHeight="1" thickBot="1">
      <c r="A73" s="19" t="n"/>
      <c r="B73" s="93" t="n"/>
      <c r="C73" s="93" t="n"/>
      <c r="D73" s="93" t="n"/>
      <c r="E73" s="94" t="n"/>
      <c r="F73" s="19" t="n"/>
    </row>
    <row r="74" ht="18" customHeight="1" thickTop="1">
      <c r="A74" s="18" t="n"/>
      <c r="B74" s="95" t="n">
        <v>61</v>
      </c>
      <c r="C74" s="165">
        <f>DATE(2025,10,31)</f>
        <v/>
      </c>
      <c r="D74" s="113" t="inlineStr">
        <is>
          <t>Apply first-round revisions</t>
        </is>
      </c>
      <c r="E74" s="97" t="inlineStr">
        <is>
          <t>Implement approved picture and sound notes.</t>
        </is>
      </c>
      <c r="F74" s="17" t="n"/>
    </row>
    <row r="75" ht="18" customHeight="1">
      <c r="A75" s="18" t="n"/>
      <c r="B75" s="76" t="n">
        <v>62</v>
      </c>
      <c r="C75" s="166">
        <f>DATE(2025,11,1)</f>
        <v/>
      </c>
      <c r="D75" s="114" t="inlineStr">
        <is>
          <t>Complete missing shots</t>
        </is>
      </c>
      <c r="E75" s="79" t="inlineStr">
        <is>
          <t>Produce or replace any missing footage or animation.</t>
        </is>
      </c>
      <c r="F75" s="17" t="n"/>
    </row>
    <row r="76" ht="18" customHeight="1">
      <c r="A76" s="18" t="n"/>
      <c r="B76" s="80" t="n">
        <v>63</v>
      </c>
      <c r="C76" s="167">
        <f>C75+1</f>
        <v/>
      </c>
      <c r="D76" s="115" t="inlineStr">
        <is>
          <t>Fix animation errors</t>
        </is>
      </c>
      <c r="E76" s="82" t="inlineStr">
        <is>
          <t>Correct awkward movement or timing.</t>
        </is>
      </c>
      <c r="F76" s="17" t="n"/>
    </row>
    <row r="77" ht="18" customHeight="1">
      <c r="A77" s="18" t="n"/>
      <c r="B77" s="76" t="n">
        <v>64</v>
      </c>
      <c r="C77" s="168">
        <f>C76+1</f>
        <v/>
      </c>
      <c r="D77" s="114" t="inlineStr">
        <is>
          <t>Fix editing errors</t>
        </is>
      </c>
      <c r="E77" s="79" t="inlineStr">
        <is>
          <t>Check cuts, scene order, and continuity.</t>
        </is>
      </c>
      <c r="F77" s="17" t="n"/>
    </row>
    <row r="78" ht="18" customHeight="1">
      <c r="A78" s="18" t="n"/>
      <c r="B78" s="80" t="n">
        <v>65</v>
      </c>
      <c r="C78" s="167">
        <f>C77+1</f>
        <v/>
      </c>
      <c r="D78" s="115" t="inlineStr">
        <is>
          <t>Check live-action continuity</t>
        </is>
      </c>
      <c r="E78" s="82" t="inlineStr">
        <is>
          <t>Review performance, clothing, and lighting consistency.</t>
        </is>
      </c>
      <c r="F78" s="17" t="n"/>
    </row>
    <row r="79" ht="18" customHeight="1">
      <c r="A79" s="18" t="n"/>
      <c r="B79" s="76" t="n">
        <v>66</v>
      </c>
      <c r="C79" s="168">
        <f>C78+1</f>
        <v/>
      </c>
      <c r="D79" s="114" t="inlineStr">
        <is>
          <t>Check artwork and color consistency</t>
        </is>
      </c>
      <c r="E79" s="79" t="inlineStr">
        <is>
          <t>Ensure character and background visuals match.</t>
        </is>
      </c>
      <c r="F79" s="17" t="n"/>
    </row>
    <row r="80" ht="18" customHeight="1">
      <c r="A80" s="18" t="n"/>
      <c r="B80" s="80" t="n">
        <v>67</v>
      </c>
      <c r="C80" s="167">
        <f>C79+1</f>
        <v/>
      </c>
      <c r="D80" s="115" t="inlineStr">
        <is>
          <t>Review dialogue synchronization</t>
        </is>
      </c>
      <c r="E80" s="82" t="inlineStr">
        <is>
          <t>Check final timing for animated dialogue.</t>
        </is>
      </c>
      <c r="F80" s="17" t="n"/>
    </row>
    <row r="81" ht="18" customHeight="1">
      <c r="A81" s="18" t="n"/>
      <c r="B81" s="76" t="n">
        <v>68</v>
      </c>
      <c r="C81" s="168">
        <f>C80+1</f>
        <v/>
      </c>
      <c r="D81" s="114" t="inlineStr">
        <is>
          <t>Review music and sound effects</t>
        </is>
      </c>
      <c r="E81" s="79" t="inlineStr">
        <is>
          <t>Keep dialogue clear and audible.</t>
        </is>
      </c>
      <c r="F81" s="17" t="n"/>
    </row>
    <row r="82" ht="18" customHeight="1">
      <c r="A82" s="18" t="n"/>
      <c r="B82" s="80" t="n">
        <v>69</v>
      </c>
      <c r="C82" s="167">
        <f>C81+1</f>
        <v/>
      </c>
      <c r="D82" s="115" t="inlineStr">
        <is>
          <t>Review the opening title</t>
        </is>
      </c>
      <c r="E82" s="82" t="inlineStr">
        <is>
          <t>Verify project title and displayed names.</t>
        </is>
      </c>
      <c r="F82" s="17" t="n"/>
    </row>
    <row r="83" ht="18" customHeight="1">
      <c r="A83" s="18" t="n"/>
      <c r="B83" s="76" t="n">
        <v>70</v>
      </c>
      <c r="C83" s="168">
        <f>C82+1</f>
        <v/>
      </c>
      <c r="D83" s="114" t="inlineStr">
        <is>
          <t>Review end credits</t>
        </is>
      </c>
      <c r="E83" s="79" t="inlineStr">
        <is>
          <t>Verify team names and role credits.</t>
        </is>
      </c>
      <c r="F83" s="17" t="n"/>
    </row>
    <row r="84" ht="18" customHeight="1">
      <c r="A84" s="18" t="n"/>
      <c r="B84" s="80" t="n">
        <v>71</v>
      </c>
      <c r="C84" s="167">
        <f>C83+1</f>
        <v/>
      </c>
      <c r="D84" s="115" t="inlineStr">
        <is>
          <t>Export a second review version</t>
        </is>
      </c>
      <c r="E84" s="82" t="inlineStr">
        <is>
          <t>Create a version incorporating major revisions.</t>
        </is>
      </c>
      <c r="F84" s="17" t="n"/>
    </row>
    <row r="85" ht="18" customHeight="1">
      <c r="A85" s="18" t="n"/>
      <c r="B85" s="76" t="n">
        <v>72</v>
      </c>
      <c r="C85" s="168">
        <f>C84+1</f>
        <v/>
      </c>
      <c r="D85" s="114" t="inlineStr">
        <is>
          <t>Watch the full version without interruption</t>
        </is>
      </c>
      <c r="E85" s="79" t="inlineStr">
        <is>
          <t>Identify pacing, sound, or picture issues.</t>
        </is>
      </c>
      <c r="F85" s="17" t="n"/>
    </row>
    <row r="86" ht="18" customHeight="1">
      <c r="A86" s="18" t="n"/>
      <c r="B86" s="80" t="n">
        <v>73</v>
      </c>
      <c r="C86" s="167">
        <f>C85+1</f>
        <v/>
      </c>
      <c r="D86" s="115" t="inlineStr">
        <is>
          <t>Consolidate final notes</t>
        </is>
      </c>
      <c r="E86" s="82" t="inlineStr">
        <is>
          <t>Collect remaining feedback in one list.</t>
        </is>
      </c>
      <c r="F86" s="17" t="n"/>
    </row>
    <row r="87" ht="18" customHeight="1">
      <c r="A87" s="18" t="n"/>
      <c r="B87" s="76" t="n">
        <v>74</v>
      </c>
      <c r="C87" s="168">
        <f>C86+1</f>
        <v/>
      </c>
      <c r="D87" s="114" t="inlineStr">
        <is>
          <t>Complete final corrections</t>
        </is>
      </c>
      <c r="E87" s="79" t="inlineStr">
        <is>
          <t>Close confirmed notes by priority.</t>
        </is>
      </c>
      <c r="F87" s="17" t="n"/>
    </row>
    <row r="88" ht="18" customHeight="1">
      <c r="A88" s="18" t="n"/>
      <c r="B88" s="80" t="n">
        <v>75</v>
      </c>
      <c r="C88" s="167">
        <f>C87+1</f>
        <v/>
      </c>
      <c r="D88" s="115" t="inlineStr">
        <is>
          <t>Review AI-assisted assets</t>
        </is>
      </c>
      <c r="E88" s="82" t="inlineStr">
        <is>
          <t>Check suitability and remove visible defects.</t>
        </is>
      </c>
      <c r="F88" s="17" t="n"/>
    </row>
    <row r="89" ht="18" customHeight="1">
      <c r="A89" s="18" t="n"/>
      <c r="B89" s="76" t="n">
        <v>76</v>
      </c>
      <c r="C89" s="168">
        <f>C88+1</f>
        <v/>
      </c>
      <c r="D89" s="114" t="inlineStr">
        <is>
          <t>Check asset rights and sources</t>
        </is>
      </c>
      <c r="E89" s="79" t="inlineStr">
        <is>
          <t>Confirm external music, images, and assets can be used.</t>
        </is>
      </c>
      <c r="F89" s="17" t="n"/>
    </row>
    <row r="90" ht="18" customHeight="1">
      <c r="A90" s="18" t="n"/>
      <c r="B90" s="80" t="n">
        <v>77</v>
      </c>
      <c r="C90" s="167">
        <f>C89+1</f>
        <v/>
      </c>
      <c r="D90" s="115" t="inlineStr">
        <is>
          <t>Balance audio levels</t>
        </is>
      </c>
      <c r="E90" s="82" t="inlineStr">
        <is>
          <t>Adjust dialogue, music, and effects.</t>
        </is>
      </c>
      <c r="F90" s="17" t="n"/>
    </row>
    <row r="91" ht="18" customHeight="1">
      <c r="A91" s="18" t="n"/>
      <c r="B91" s="76" t="n">
        <v>78</v>
      </c>
      <c r="C91" s="168">
        <f>C90+1</f>
        <v/>
      </c>
      <c r="D91" s="114" t="inlineStr">
        <is>
          <t>Correct color and lighting</t>
        </is>
      </c>
      <c r="E91" s="79" t="inlineStr">
        <is>
          <t>Improve consistency across live-action shots.</t>
        </is>
      </c>
      <c r="F91" s="17" t="n"/>
    </row>
    <row r="92" ht="18" customHeight="1">
      <c r="A92" s="18" t="n"/>
      <c r="B92" s="80" t="n">
        <v>79</v>
      </c>
      <c r="C92" s="167">
        <f>C91+1</f>
        <v/>
      </c>
      <c r="D92" s="115" t="inlineStr">
        <is>
          <t>Confirm export settings</t>
        </is>
      </c>
      <c r="E92" s="82" t="inlineStr">
        <is>
          <t>Choose suitable resolution and frame rate.</t>
        </is>
      </c>
      <c r="F92" s="17" t="n"/>
    </row>
    <row r="93" ht="18" customHeight="1">
      <c r="A93" s="18" t="n"/>
      <c r="B93" s="76" t="n">
        <v>80</v>
      </c>
      <c r="C93" s="168">
        <f>C92+1</f>
        <v/>
      </c>
      <c r="D93" s="114" t="inlineStr">
        <is>
          <t>Export a high-quality test</t>
        </is>
      </c>
      <c r="E93" s="79" t="inlineStr">
        <is>
          <t>Test the export before final rendering.</t>
        </is>
      </c>
      <c r="F93" s="17" t="n"/>
    </row>
    <row r="94" ht="18" customHeight="1">
      <c r="A94" s="18" t="n"/>
      <c r="B94" s="80" t="n">
        <v>81</v>
      </c>
      <c r="C94" s="167">
        <f>C93+1</f>
        <v/>
      </c>
      <c r="D94" s="115" t="inlineStr">
        <is>
          <t>Inspect the exported file</t>
        </is>
      </c>
      <c r="E94" s="82" t="inlineStr">
        <is>
          <t>Check audio, picture, and any black frames.</t>
        </is>
      </c>
      <c r="F94" s="17" t="n"/>
    </row>
    <row r="95" ht="18" customHeight="1">
      <c r="A95" s="18" t="n"/>
      <c r="B95" s="76" t="n">
        <v>82</v>
      </c>
      <c r="C95" s="168">
        <f>C94+1</f>
        <v/>
      </c>
      <c r="D95" s="114" t="inlineStr">
        <is>
          <t>Review file size</t>
        </is>
      </c>
      <c r="E95" s="79" t="inlineStr">
        <is>
          <t>Ensure the file is practical for delivery and sharing.</t>
        </is>
      </c>
      <c r="F95" s="17" t="n"/>
    </row>
    <row r="96" ht="18" customHeight="1">
      <c r="A96" s="18" t="n"/>
      <c r="B96" s="80" t="n">
        <v>83</v>
      </c>
      <c r="C96" s="167">
        <f>C95+1</f>
        <v/>
      </c>
      <c r="D96" s="115" t="inlineStr">
        <is>
          <t>Compress if needed</t>
        </is>
      </c>
      <c r="E96" s="82" t="inlineStr">
        <is>
          <t>Reduce size while preserving acceptable quality.</t>
        </is>
      </c>
      <c r="F96" s="17" t="n"/>
    </row>
    <row r="97" ht="18" customHeight="1">
      <c r="A97" s="18" t="n"/>
      <c r="B97" s="76" t="n">
        <v>84</v>
      </c>
      <c r="C97" s="168">
        <f>C96+1</f>
        <v/>
      </c>
      <c r="D97" s="114" t="inlineStr">
        <is>
          <t>Export the final version</t>
        </is>
      </c>
      <c r="E97" s="79" t="inlineStr">
        <is>
          <t>Render the final video in the required format.</t>
        </is>
      </c>
      <c r="F97" s="17" t="n"/>
    </row>
    <row r="98" ht="18" customHeight="1">
      <c r="A98" s="18" t="n"/>
      <c r="B98" s="80" t="n">
        <v>85</v>
      </c>
      <c r="C98" s="167">
        <f>C97+1</f>
        <v/>
      </c>
      <c r="D98" s="115" t="inlineStr">
        <is>
          <t>Back up final materials</t>
        </is>
      </c>
      <c r="E98" s="82" t="inlineStr">
        <is>
          <t>Save the final video and essential project files.</t>
        </is>
      </c>
      <c r="F98" s="17" t="n"/>
    </row>
    <row r="99" ht="18" customHeight="1">
      <c r="A99" s="18" t="n"/>
      <c r="B99" s="76" t="n">
        <v>86</v>
      </c>
      <c r="C99" s="168">
        <f>C98+1</f>
        <v/>
      </c>
      <c r="D99" s="114" t="inlineStr">
        <is>
          <t>Organize delivery folders</t>
        </is>
      </c>
      <c r="E99" s="79" t="inlineStr">
        <is>
          <t>Arrange video, artwork, audio, and reference files.</t>
        </is>
      </c>
      <c r="F99" s="17" t="n"/>
    </row>
    <row r="100" ht="18" customHeight="1">
      <c r="A100" s="18" t="n"/>
      <c r="B100" s="80" t="n">
        <v>87</v>
      </c>
      <c r="C100" s="167">
        <f>C99+1</f>
        <v/>
      </c>
      <c r="D100" s="115" t="inlineStr">
        <is>
          <t>Prepare a team contribution summary</t>
        </is>
      </c>
      <c r="E100" s="82" t="inlineStr">
        <is>
          <t>Document each member's role and deliverables.</t>
        </is>
      </c>
      <c r="F100" s="17" t="n"/>
    </row>
    <row r="101" ht="18" customHeight="1">
      <c r="A101" s="18" t="n"/>
      <c r="B101" s="76" t="n">
        <v>88</v>
      </c>
      <c r="C101" s="168">
        <f>C100+1</f>
        <v/>
      </c>
      <c r="D101" s="114" t="inlineStr">
        <is>
          <t>Conduct a final team review</t>
        </is>
      </c>
      <c r="E101" s="79" t="inlineStr">
        <is>
          <t>Confirm team approval of the final version.</t>
        </is>
      </c>
      <c r="F101" s="17" t="n"/>
    </row>
    <row r="102" ht="18" customHeight="1">
      <c r="A102" s="18" t="n"/>
      <c r="B102" s="80" t="n">
        <v>89</v>
      </c>
      <c r="C102" s="167">
        <f>C101+1</f>
        <v/>
      </c>
      <c r="D102" s="115" t="inlineStr">
        <is>
          <t>Deliver the project</t>
        </is>
      </c>
      <c r="E102" s="82" t="inlineStr">
        <is>
          <t>Submit the video and required files and retain a backup.</t>
        </is>
      </c>
      <c r="F102" s="17" t="n"/>
    </row>
    <row r="103" ht="18.6" customHeight="1" thickBot="1">
      <c r="A103" s="18" t="n"/>
      <c r="B103" s="102" t="n">
        <v>90</v>
      </c>
      <c r="C103" s="169">
        <f>C102+1</f>
        <v/>
      </c>
      <c r="D103" s="105" t="inlineStr">
        <is>
          <t>Close the project and document outcomes</t>
        </is>
      </c>
      <c r="E103" s="112" t="inlineStr">
        <is>
          <t>Record completed work and lessons learned.</t>
        </is>
      </c>
      <c r="F103" s="17" t="n"/>
    </row>
    <row r="104" ht="3.6" customFormat="1" customHeight="1" s="2">
      <c r="A104" s="6" t="n"/>
      <c r="B104" s="5" t="n"/>
      <c r="C104" s="5" t="n"/>
      <c r="D104" s="5" t="n"/>
      <c r="E104" s="5" t="n"/>
      <c r="F104" s="6" t="n"/>
    </row>
  </sheetData>
  <mergeCells count="5">
    <mergeCell ref="B6:E6"/>
    <mergeCell ref="B39:E39"/>
    <mergeCell ref="B72:E72"/>
    <mergeCell ref="B3:E3"/>
    <mergeCell ref="B2:E2"/>
  </mergeCells>
  <conditionalFormatting sqref="B8:B37 B41:B70 B74:B103">
    <cfRule type="dataBar" priority="1">
      <dataBar showValue="0">
        <cfvo type="min"/>
        <cfvo type="max"/>
        <color theme="3" tint="-0.249977111117893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Abdelhamid</dc:creator>
  <dcterms:created xmlns:dcterms="http://purl.org/dc/terms/" xmlns:xsi="http://www.w3.org/2001/XMLSchema-instance" xsi:type="dcterms:W3CDTF">2025-08-27T22:47:36Z</dcterms:created>
  <dcterms:modified xmlns:dcterms="http://purl.org/dc/terms/" xmlns:xsi="http://www.w3.org/2001/XMLSchema-instance" xsi:type="dcterms:W3CDTF">2026-10-26T16:24:08Z</dcterms:modified>
  <cp:lastModifiedBy>Hana Abdelglil</cp:lastModifiedBy>
  <cp:lastPrinted>2025-08-29T17:01:10Z</cp:lastPrinted>
</cp:coreProperties>
</file>